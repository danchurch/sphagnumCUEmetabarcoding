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3.xml" ContentType="application/vnd.openxmlformats-officedocument.drawing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e\OneDrive\Dokumente\Uni\Master\Masterarbeit\Labor\"/>
    </mc:Choice>
  </mc:AlternateContent>
  <xr:revisionPtr revIDLastSave="0" documentId="13_ncr:1_{F7F9F604-D856-4905-AE81-6B1BBF5C358F}" xr6:coauthVersionLast="47" xr6:coauthVersionMax="47" xr10:uidLastSave="{00000000-0000-0000-0000-000000000000}"/>
  <bookViews>
    <workbookView xWindow="-108" yWindow="-108" windowWidth="23256" windowHeight="12456" firstSheet="12" activeTab="13" xr2:uid="{81E5566E-B81D-4574-9E96-1093F1D9EA41}"/>
  </bookViews>
  <sheets>
    <sheet name="0_Sampling" sheetId="1" r:id="rId1"/>
    <sheet name="1_Water content" sheetId="2" r:id="rId2"/>
    <sheet name="2_Water holding capacity" sheetId="3" r:id="rId3"/>
    <sheet name="3_Pre-incubation" sheetId="4" r:id="rId4"/>
    <sheet name="4_DNA-Extraction " sheetId="6" r:id="rId5"/>
    <sheet name="5_Flushing" sheetId="10" r:id="rId6"/>
    <sheet name="6_GC measurements aerobic" sheetId="15" r:id="rId7"/>
    <sheet name="7_GC measurements anaerobic" sheetId="16" r:id="rId8"/>
    <sheet name="8_Respiration" sheetId="17" r:id="rId9"/>
    <sheet name="9_Long-term incubation" sheetId="20" r:id="rId10"/>
    <sheet name="10_CFE" sheetId="18" r:id="rId11"/>
    <sheet name="11_Elemental analyses" sheetId="13" r:id="rId12"/>
    <sheet name="12_DNA concentrations" sheetId="21" r:id="rId13"/>
    <sheet name="13_CUE" sheetId="19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1" i="21" l="1"/>
  <c r="AG8" i="19"/>
  <c r="K69" i="21"/>
  <c r="K38" i="21"/>
  <c r="K12" i="21"/>
  <c r="K70" i="21" l="1"/>
  <c r="K51" i="21"/>
  <c r="K22" i="21"/>
  <c r="K2" i="21"/>
  <c r="K119" i="21"/>
  <c r="K118" i="21"/>
  <c r="K117" i="21"/>
  <c r="K116" i="21"/>
  <c r="K115" i="21"/>
  <c r="K114" i="21"/>
  <c r="K85" i="21"/>
  <c r="K84" i="21"/>
  <c r="K83" i="21"/>
  <c r="K82" i="21"/>
  <c r="K81" i="21"/>
  <c r="K80" i="21"/>
  <c r="K79" i="21"/>
  <c r="K78" i="21"/>
  <c r="K77" i="21"/>
  <c r="K76" i="21"/>
  <c r="K75" i="21"/>
  <c r="K74" i="21"/>
  <c r="K73" i="21"/>
  <c r="M73" i="21" s="1"/>
  <c r="K72" i="21"/>
  <c r="M72" i="21" s="1"/>
  <c r="K71" i="21"/>
  <c r="M71" i="21" s="1"/>
  <c r="M70" i="21"/>
  <c r="K68" i="21"/>
  <c r="K67" i="21"/>
  <c r="K66" i="21"/>
  <c r="K65" i="21"/>
  <c r="K64" i="21"/>
  <c r="K63" i="21"/>
  <c r="K62" i="21"/>
  <c r="K61" i="21"/>
  <c r="K60" i="21"/>
  <c r="K59" i="21"/>
  <c r="K58" i="21"/>
  <c r="K57" i="21"/>
  <c r="K56" i="21"/>
  <c r="K55" i="21"/>
  <c r="K54" i="21"/>
  <c r="K53" i="21"/>
  <c r="K52" i="21"/>
  <c r="K50" i="21"/>
  <c r="K49" i="21"/>
  <c r="K48" i="21"/>
  <c r="K47" i="21"/>
  <c r="K46" i="21"/>
  <c r="K45" i="21"/>
  <c r="K44" i="21"/>
  <c r="K43" i="21"/>
  <c r="K42" i="21"/>
  <c r="K41" i="21"/>
  <c r="K40" i="21"/>
  <c r="K39" i="21"/>
  <c r="K35" i="21"/>
  <c r="M35" i="21" s="1"/>
  <c r="K34" i="21"/>
  <c r="M34" i="21" s="1"/>
  <c r="K33" i="21"/>
  <c r="M33" i="21" s="1"/>
  <c r="K32" i="21"/>
  <c r="M32" i="21" s="1"/>
  <c r="K31" i="21"/>
  <c r="K30" i="21"/>
  <c r="K29" i="21"/>
  <c r="K28" i="21"/>
  <c r="K27" i="21"/>
  <c r="K26" i="21"/>
  <c r="K25" i="21"/>
  <c r="K24" i="21"/>
  <c r="K23" i="21"/>
  <c r="K21" i="21"/>
  <c r="K20" i="21"/>
  <c r="K19" i="21"/>
  <c r="K18" i="21"/>
  <c r="K17" i="21"/>
  <c r="K16" i="21"/>
  <c r="K15" i="21"/>
  <c r="M15" i="21" s="1"/>
  <c r="K14" i="21"/>
  <c r="M14" i="21" s="1"/>
  <c r="K13" i="21"/>
  <c r="M13" i="21" s="1"/>
  <c r="M12" i="21"/>
  <c r="K11" i="21"/>
  <c r="K10" i="21"/>
  <c r="K9" i="21"/>
  <c r="K8" i="21"/>
  <c r="K7" i="21"/>
  <c r="K6" i="21"/>
  <c r="K5" i="21"/>
  <c r="K4" i="21"/>
  <c r="K3" i="21"/>
  <c r="AF9" i="19"/>
  <c r="Q81" i="20"/>
  <c r="O76" i="20"/>
  <c r="G76" i="20"/>
  <c r="C76" i="20"/>
  <c r="O75" i="20"/>
  <c r="G75" i="20"/>
  <c r="C75" i="20"/>
  <c r="O74" i="20"/>
  <c r="O78" i="20" s="1" a="1"/>
  <c r="O78" i="20" s="1"/>
  <c r="G74" i="20"/>
  <c r="C74" i="20"/>
  <c r="G73" i="20"/>
  <c r="C73" i="20"/>
  <c r="G72" i="20"/>
  <c r="C72" i="20"/>
  <c r="G71" i="20"/>
  <c r="C71" i="20"/>
  <c r="G70" i="20"/>
  <c r="C70" i="20"/>
  <c r="G69" i="20"/>
  <c r="C69" i="20"/>
  <c r="G68" i="20"/>
  <c r="C68" i="20"/>
  <c r="G67" i="20"/>
  <c r="C67" i="20"/>
  <c r="G66" i="20"/>
  <c r="C66" i="20"/>
  <c r="G65" i="20"/>
  <c r="C65" i="20"/>
  <c r="G64" i="20"/>
  <c r="C64" i="20"/>
  <c r="G63" i="20"/>
  <c r="C63" i="20"/>
  <c r="G62" i="20"/>
  <c r="C62" i="20"/>
  <c r="G61" i="20"/>
  <c r="C61" i="20"/>
  <c r="G60" i="20"/>
  <c r="C60" i="20"/>
  <c r="G59" i="20"/>
  <c r="C59" i="20"/>
  <c r="G58" i="20"/>
  <c r="C58" i="20"/>
  <c r="G57" i="20"/>
  <c r="C57" i="20"/>
  <c r="G56" i="20"/>
  <c r="C56" i="20"/>
  <c r="G55" i="20"/>
  <c r="C55" i="20"/>
  <c r="G54" i="20"/>
  <c r="C54" i="20"/>
  <c r="G53" i="20"/>
  <c r="C53" i="20"/>
  <c r="G52" i="20"/>
  <c r="C52" i="20"/>
  <c r="G51" i="20"/>
  <c r="C51" i="20"/>
  <c r="G50" i="20"/>
  <c r="C50" i="20"/>
  <c r="G49" i="20"/>
  <c r="C49" i="20"/>
  <c r="C35" i="20"/>
  <c r="O34" i="20" a="1"/>
  <c r="O34" i="20" s="1"/>
  <c r="C34" i="20"/>
  <c r="C33" i="20"/>
  <c r="O32" i="20"/>
  <c r="C32" i="20"/>
  <c r="O31" i="20"/>
  <c r="C31" i="20"/>
  <c r="O30" i="20"/>
  <c r="C30" i="20"/>
  <c r="C29" i="20"/>
  <c r="C28" i="20"/>
  <c r="C27" i="20"/>
  <c r="C26" i="20"/>
  <c r="C25" i="20"/>
  <c r="C24" i="20"/>
  <c r="C23" i="20"/>
  <c r="C22" i="20"/>
  <c r="C21" i="20"/>
  <c r="C20" i="20"/>
  <c r="C19" i="20"/>
  <c r="C18" i="20"/>
  <c r="C17" i="20"/>
  <c r="C16" i="20"/>
  <c r="C15" i="20"/>
  <c r="C14" i="20"/>
  <c r="C13" i="20"/>
  <c r="C12" i="20"/>
  <c r="C11" i="20"/>
  <c r="C10" i="20"/>
  <c r="C9" i="20"/>
  <c r="C8" i="20"/>
  <c r="F68" i="20" l="1"/>
  <c r="F75" i="20"/>
  <c r="F67" i="20"/>
  <c r="F59" i="20"/>
  <c r="F74" i="20"/>
  <c r="F70" i="20"/>
  <c r="F66" i="20"/>
  <c r="F62" i="20"/>
  <c r="F58" i="20"/>
  <c r="F54" i="20"/>
  <c r="F50" i="20"/>
  <c r="F72" i="20"/>
  <c r="F71" i="20"/>
  <c r="F73" i="20"/>
  <c r="F69" i="20"/>
  <c r="F65" i="20"/>
  <c r="F61" i="20"/>
  <c r="F57" i="20"/>
  <c r="F53" i="20"/>
  <c r="F49" i="20"/>
  <c r="F51" i="20"/>
  <c r="F76" i="20"/>
  <c r="F64" i="20"/>
  <c r="F60" i="20"/>
  <c r="F56" i="20"/>
  <c r="F52" i="20"/>
  <c r="F63" i="20"/>
  <c r="F55" i="20"/>
  <c r="F34" i="20"/>
  <c r="F27" i="20"/>
  <c r="F23" i="20"/>
  <c r="F19" i="20"/>
  <c r="F15" i="20"/>
  <c r="F11" i="20"/>
  <c r="H30" i="20"/>
  <c r="H22" i="20"/>
  <c r="H14" i="20"/>
  <c r="H10" i="20"/>
  <c r="F13" i="20"/>
  <c r="F32" i="20"/>
  <c r="H28" i="20"/>
  <c r="H20" i="20"/>
  <c r="H12" i="20"/>
  <c r="F24" i="20"/>
  <c r="F12" i="20"/>
  <c r="H31" i="20"/>
  <c r="H15" i="20"/>
  <c r="H33" i="20"/>
  <c r="H26" i="20"/>
  <c r="H18" i="20"/>
  <c r="F21" i="20"/>
  <c r="F35" i="20"/>
  <c r="F20" i="20"/>
  <c r="F33" i="20"/>
  <c r="F30" i="20"/>
  <c r="F26" i="20"/>
  <c r="F22" i="20"/>
  <c r="F18" i="20"/>
  <c r="F14" i="20"/>
  <c r="F10" i="20"/>
  <c r="H24" i="20"/>
  <c r="H8" i="20"/>
  <c r="F28" i="20"/>
  <c r="F16" i="20"/>
  <c r="F31" i="20"/>
  <c r="H23" i="20"/>
  <c r="H11" i="20"/>
  <c r="H29" i="20"/>
  <c r="H25" i="20"/>
  <c r="H21" i="20"/>
  <c r="H17" i="20"/>
  <c r="H13" i="20"/>
  <c r="H9" i="20"/>
  <c r="H35" i="20"/>
  <c r="H32" i="20"/>
  <c r="F29" i="20"/>
  <c r="F25" i="20"/>
  <c r="F17" i="20"/>
  <c r="F9" i="20"/>
  <c r="H16" i="20"/>
  <c r="F8" i="20"/>
  <c r="H34" i="20"/>
  <c r="H27" i="20"/>
  <c r="H19" i="20"/>
  <c r="M10" i="13" l="1"/>
  <c r="AF8" i="19"/>
  <c r="AD37" i="19"/>
  <c r="AD8" i="19"/>
  <c r="AC8" i="19"/>
  <c r="Y39" i="19"/>
  <c r="Z39" i="19"/>
  <c r="AC39" i="19"/>
  <c r="S10" i="17"/>
  <c r="O8" i="19"/>
  <c r="P8" i="19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V8" i="19"/>
  <c r="Z8" i="19"/>
  <c r="S8" i="19"/>
  <c r="AI10" i="18"/>
  <c r="N10" i="17"/>
  <c r="P10" i="17"/>
  <c r="Q10" i="17" s="1"/>
  <c r="R10" i="17" s="1"/>
  <c r="P11" i="2"/>
  <c r="Q11" i="2"/>
  <c r="O11" i="2"/>
  <c r="AS22" i="18"/>
  <c r="AS23" i="18"/>
  <c r="AS26" i="18"/>
  <c r="AS31" i="18"/>
  <c r="AS35" i="18"/>
  <c r="AS37" i="18"/>
  <c r="AS39" i="18"/>
  <c r="AS41" i="18"/>
  <c r="AS45" i="18"/>
  <c r="AS47" i="18"/>
  <c r="AS50" i="18"/>
  <c r="AS51" i="18"/>
  <c r="AS55" i="18"/>
  <c r="AS56" i="18"/>
  <c r="AS57" i="18"/>
  <c r="AS59" i="18"/>
  <c r="AS65" i="18"/>
  <c r="AQ13" i="18"/>
  <c r="AR13" i="18" s="1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H12" i="2"/>
  <c r="I23" i="3"/>
  <c r="L23" i="3"/>
  <c r="I12" i="2"/>
  <c r="AF10" i="18"/>
  <c r="C49" i="16"/>
  <c r="AS13" i="18" l="1"/>
  <c r="AQ10" i="18"/>
  <c r="F8" i="15"/>
  <c r="S119" i="19"/>
  <c r="P119" i="19"/>
  <c r="O119" i="19"/>
  <c r="G119" i="19"/>
  <c r="H119" i="19" s="1"/>
  <c r="J119" i="19" s="1"/>
  <c r="S118" i="19"/>
  <c r="O118" i="19"/>
  <c r="P118" i="19" s="1"/>
  <c r="G118" i="19"/>
  <c r="H118" i="19" s="1"/>
  <c r="J118" i="19" s="1"/>
  <c r="S117" i="19"/>
  <c r="P117" i="19"/>
  <c r="O117" i="19"/>
  <c r="G117" i="19"/>
  <c r="H117" i="19" s="1"/>
  <c r="J117" i="19" s="1"/>
  <c r="S116" i="19"/>
  <c r="P116" i="19"/>
  <c r="O116" i="19"/>
  <c r="H116" i="19"/>
  <c r="J116" i="19" s="1"/>
  <c r="G116" i="19"/>
  <c r="S115" i="19"/>
  <c r="P115" i="19"/>
  <c r="O115" i="19"/>
  <c r="G115" i="19"/>
  <c r="H115" i="19" s="1"/>
  <c r="J115" i="19" s="1"/>
  <c r="S114" i="19"/>
  <c r="P114" i="19"/>
  <c r="O114" i="19"/>
  <c r="H114" i="19"/>
  <c r="J114" i="19" s="1"/>
  <c r="G114" i="19"/>
  <c r="S113" i="19"/>
  <c r="P113" i="19"/>
  <c r="O113" i="19"/>
  <c r="G113" i="19"/>
  <c r="H113" i="19" s="1"/>
  <c r="J113" i="19" s="1"/>
  <c r="S112" i="19"/>
  <c r="P112" i="19"/>
  <c r="O112" i="19"/>
  <c r="H112" i="19"/>
  <c r="J112" i="19" s="1"/>
  <c r="G112" i="19"/>
  <c r="S111" i="19"/>
  <c r="P111" i="19"/>
  <c r="O111" i="19"/>
  <c r="G111" i="19"/>
  <c r="H111" i="19" s="1"/>
  <c r="J111" i="19" s="1"/>
  <c r="S110" i="19"/>
  <c r="P110" i="19"/>
  <c r="O110" i="19"/>
  <c r="H110" i="19"/>
  <c r="J110" i="19" s="1"/>
  <c r="G110" i="19"/>
  <c r="S109" i="19"/>
  <c r="P109" i="19"/>
  <c r="O109" i="19"/>
  <c r="G109" i="19"/>
  <c r="H109" i="19" s="1"/>
  <c r="J109" i="19" s="1"/>
  <c r="S108" i="19"/>
  <c r="P108" i="19"/>
  <c r="O108" i="19"/>
  <c r="H108" i="19"/>
  <c r="J108" i="19" s="1"/>
  <c r="G108" i="19"/>
  <c r="S107" i="19"/>
  <c r="P107" i="19"/>
  <c r="O107" i="19"/>
  <c r="G107" i="19"/>
  <c r="H107" i="19" s="1"/>
  <c r="J107" i="19" s="1"/>
  <c r="S106" i="19"/>
  <c r="P106" i="19"/>
  <c r="O106" i="19"/>
  <c r="H106" i="19"/>
  <c r="J106" i="19" s="1"/>
  <c r="G106" i="19"/>
  <c r="S105" i="19"/>
  <c r="P105" i="19"/>
  <c r="O105" i="19"/>
  <c r="G105" i="19"/>
  <c r="H105" i="19" s="1"/>
  <c r="J105" i="19" s="1"/>
  <c r="S104" i="19"/>
  <c r="P104" i="19"/>
  <c r="O104" i="19"/>
  <c r="H104" i="19"/>
  <c r="J104" i="19" s="1"/>
  <c r="G104" i="19"/>
  <c r="S103" i="19"/>
  <c r="P103" i="19"/>
  <c r="O103" i="19"/>
  <c r="G103" i="19"/>
  <c r="H103" i="19" s="1"/>
  <c r="J103" i="19" s="1"/>
  <c r="S102" i="19"/>
  <c r="P102" i="19"/>
  <c r="O102" i="19"/>
  <c r="H102" i="19"/>
  <c r="J102" i="19" s="1"/>
  <c r="G102" i="19"/>
  <c r="S101" i="19"/>
  <c r="P101" i="19"/>
  <c r="O101" i="19"/>
  <c r="G101" i="19"/>
  <c r="H101" i="19" s="1"/>
  <c r="J101" i="19" s="1"/>
  <c r="S100" i="19"/>
  <c r="P100" i="19"/>
  <c r="O100" i="19"/>
  <c r="H100" i="19"/>
  <c r="J100" i="19" s="1"/>
  <c r="G100" i="19"/>
  <c r="Q99" i="19"/>
  <c r="S99" i="19" s="1"/>
  <c r="O99" i="19"/>
  <c r="P99" i="19" s="1"/>
  <c r="G99" i="19"/>
  <c r="H99" i="19" s="1"/>
  <c r="J99" i="19" s="1"/>
  <c r="S98" i="19"/>
  <c r="Q98" i="19"/>
  <c r="O98" i="19"/>
  <c r="P98" i="19" s="1"/>
  <c r="H98" i="19"/>
  <c r="J98" i="19" s="1"/>
  <c r="G98" i="19"/>
  <c r="S97" i="19"/>
  <c r="O97" i="19"/>
  <c r="G97" i="19"/>
  <c r="S96" i="19"/>
  <c r="O96" i="19"/>
  <c r="P96" i="19" s="1"/>
  <c r="J96" i="19"/>
  <c r="H96" i="19"/>
  <c r="G96" i="19"/>
  <c r="S95" i="19"/>
  <c r="O95" i="19"/>
  <c r="G95" i="19"/>
  <c r="S94" i="19"/>
  <c r="O94" i="19"/>
  <c r="P94" i="19" s="1"/>
  <c r="J94" i="19"/>
  <c r="H94" i="19"/>
  <c r="G94" i="19"/>
  <c r="S93" i="19"/>
  <c r="O93" i="19"/>
  <c r="G93" i="19"/>
  <c r="S92" i="19"/>
  <c r="O92" i="19"/>
  <c r="P92" i="19" s="1"/>
  <c r="J92" i="19"/>
  <c r="H92" i="19"/>
  <c r="G92" i="19"/>
  <c r="S91" i="19"/>
  <c r="O91" i="19"/>
  <c r="G91" i="19"/>
  <c r="S90" i="19"/>
  <c r="O90" i="19"/>
  <c r="P90" i="19" s="1"/>
  <c r="J90" i="19"/>
  <c r="H90" i="19"/>
  <c r="G90" i="19"/>
  <c r="S89" i="19"/>
  <c r="O89" i="19"/>
  <c r="G89" i="19"/>
  <c r="S88" i="19"/>
  <c r="O88" i="19"/>
  <c r="P88" i="19" s="1"/>
  <c r="J88" i="19"/>
  <c r="H88" i="19"/>
  <c r="G88" i="19"/>
  <c r="S87" i="19"/>
  <c r="O87" i="19"/>
  <c r="G87" i="19"/>
  <c r="S86" i="19"/>
  <c r="O86" i="19"/>
  <c r="P86" i="19" s="1"/>
  <c r="J86" i="19"/>
  <c r="H86" i="19"/>
  <c r="G86" i="19"/>
  <c r="S85" i="19"/>
  <c r="O85" i="19"/>
  <c r="G85" i="19"/>
  <c r="S84" i="19"/>
  <c r="O84" i="19"/>
  <c r="P84" i="19" s="1"/>
  <c r="J84" i="19"/>
  <c r="H84" i="19"/>
  <c r="G84" i="19"/>
  <c r="S83" i="19"/>
  <c r="O83" i="19"/>
  <c r="G83" i="19"/>
  <c r="S82" i="19"/>
  <c r="O82" i="19"/>
  <c r="P82" i="19" s="1"/>
  <c r="J82" i="19"/>
  <c r="H82" i="19"/>
  <c r="G82" i="19"/>
  <c r="S81" i="19"/>
  <c r="O81" i="19"/>
  <c r="G81" i="19"/>
  <c r="Q80" i="19"/>
  <c r="S80" i="19" s="1"/>
  <c r="P80" i="19"/>
  <c r="O80" i="19"/>
  <c r="G80" i="19"/>
  <c r="H80" i="19" s="1"/>
  <c r="J80" i="19" s="1"/>
  <c r="S79" i="19"/>
  <c r="Q79" i="19"/>
  <c r="P79" i="19"/>
  <c r="O79" i="19"/>
  <c r="G79" i="19"/>
  <c r="H79" i="19" s="1"/>
  <c r="J79" i="19" s="1"/>
  <c r="S78" i="19"/>
  <c r="P78" i="19"/>
  <c r="O78" i="19"/>
  <c r="G78" i="19"/>
  <c r="H78" i="19" s="1"/>
  <c r="J78" i="19" s="1"/>
  <c r="S77" i="19"/>
  <c r="P77" i="19"/>
  <c r="O77" i="19"/>
  <c r="G77" i="19"/>
  <c r="H77" i="19" s="1"/>
  <c r="J77" i="19" s="1"/>
  <c r="S76" i="19"/>
  <c r="P76" i="19"/>
  <c r="O76" i="19"/>
  <c r="G76" i="19"/>
  <c r="H76" i="19" s="1"/>
  <c r="J76" i="19" s="1"/>
  <c r="S75" i="19"/>
  <c r="P75" i="19"/>
  <c r="O75" i="19"/>
  <c r="G75" i="19"/>
  <c r="H75" i="19" s="1"/>
  <c r="J75" i="19" s="1"/>
  <c r="S74" i="19"/>
  <c r="O74" i="19"/>
  <c r="P74" i="19" s="1"/>
  <c r="G74" i="19"/>
  <c r="H74" i="19" s="1"/>
  <c r="J74" i="19" s="1"/>
  <c r="S73" i="19"/>
  <c r="O73" i="19"/>
  <c r="G73" i="19"/>
  <c r="P73" i="19" s="1"/>
  <c r="S72" i="19"/>
  <c r="P72" i="19"/>
  <c r="O72" i="19"/>
  <c r="G72" i="19"/>
  <c r="H72" i="19" s="1"/>
  <c r="J72" i="19" s="1"/>
  <c r="Q71" i="19"/>
  <c r="S71" i="19" s="1"/>
  <c r="O71" i="19"/>
  <c r="G71" i="19"/>
  <c r="H71" i="19" s="1"/>
  <c r="J71" i="19" s="1"/>
  <c r="S70" i="19"/>
  <c r="P70" i="19"/>
  <c r="O70" i="19"/>
  <c r="H70" i="19"/>
  <c r="J70" i="19" s="1"/>
  <c r="G70" i="19"/>
  <c r="S69" i="19"/>
  <c r="Q69" i="19"/>
  <c r="O69" i="19"/>
  <c r="H69" i="19"/>
  <c r="J69" i="19" s="1"/>
  <c r="G69" i="19"/>
  <c r="P69" i="19" s="1"/>
  <c r="S68" i="19"/>
  <c r="P68" i="19"/>
  <c r="O68" i="19"/>
  <c r="G68" i="19"/>
  <c r="H68" i="19" s="1"/>
  <c r="J68" i="19" s="1"/>
  <c r="S67" i="19"/>
  <c r="P67" i="19"/>
  <c r="O67" i="19"/>
  <c r="H67" i="19"/>
  <c r="J67" i="19" s="1"/>
  <c r="G67" i="19"/>
  <c r="S66" i="19"/>
  <c r="P66" i="19"/>
  <c r="O66" i="19"/>
  <c r="G66" i="19"/>
  <c r="H66" i="19" s="1"/>
  <c r="J66" i="19" s="1"/>
  <c r="S65" i="19"/>
  <c r="O65" i="19"/>
  <c r="G65" i="19"/>
  <c r="P65" i="19" s="1"/>
  <c r="S64" i="19"/>
  <c r="P64" i="19"/>
  <c r="O64" i="19"/>
  <c r="G64" i="19"/>
  <c r="H64" i="19" s="1"/>
  <c r="J64" i="19" s="1"/>
  <c r="AH63" i="19"/>
  <c r="U63" i="19"/>
  <c r="S63" i="19"/>
  <c r="O63" i="19"/>
  <c r="G63" i="19"/>
  <c r="H63" i="19" s="1"/>
  <c r="AH62" i="19"/>
  <c r="U62" i="19"/>
  <c r="S62" i="19"/>
  <c r="O62" i="19"/>
  <c r="P62" i="19" s="1"/>
  <c r="Y62" i="19" s="1"/>
  <c r="G62" i="19"/>
  <c r="H62" i="19" s="1"/>
  <c r="AH61" i="19"/>
  <c r="U61" i="19"/>
  <c r="S61" i="19"/>
  <c r="P61" i="19"/>
  <c r="Y61" i="19" s="1"/>
  <c r="O61" i="19"/>
  <c r="G61" i="19"/>
  <c r="H61" i="19" s="1"/>
  <c r="AH60" i="19"/>
  <c r="U60" i="19"/>
  <c r="S60" i="19"/>
  <c r="O60" i="19"/>
  <c r="H60" i="19"/>
  <c r="G60" i="19"/>
  <c r="AH59" i="19"/>
  <c r="Y59" i="19"/>
  <c r="U59" i="19"/>
  <c r="S59" i="19"/>
  <c r="O59" i="19"/>
  <c r="P59" i="19" s="1"/>
  <c r="J59" i="19"/>
  <c r="G59" i="19"/>
  <c r="H59" i="19" s="1"/>
  <c r="AH58" i="19"/>
  <c r="U58" i="19"/>
  <c r="S58" i="19"/>
  <c r="P58" i="19"/>
  <c r="Y58" i="19" s="1"/>
  <c r="O58" i="19"/>
  <c r="J58" i="19"/>
  <c r="G58" i="19"/>
  <c r="H58" i="19" s="1"/>
  <c r="AH57" i="19"/>
  <c r="U57" i="19"/>
  <c r="S57" i="19"/>
  <c r="O57" i="19"/>
  <c r="G57" i="19"/>
  <c r="H57" i="19" s="1"/>
  <c r="AH56" i="19"/>
  <c r="U56" i="19"/>
  <c r="S56" i="19"/>
  <c r="O56" i="19"/>
  <c r="J56" i="19"/>
  <c r="G56" i="19"/>
  <c r="H56" i="19" s="1"/>
  <c r="AH55" i="19"/>
  <c r="U55" i="19"/>
  <c r="S55" i="19"/>
  <c r="O55" i="19"/>
  <c r="G55" i="19"/>
  <c r="H55" i="19" s="1"/>
  <c r="AH54" i="19"/>
  <c r="U54" i="19"/>
  <c r="S54" i="19"/>
  <c r="O54" i="19"/>
  <c r="G54" i="19"/>
  <c r="H54" i="19" s="1"/>
  <c r="J54" i="19" s="1"/>
  <c r="AH53" i="19"/>
  <c r="U53" i="19"/>
  <c r="S53" i="19"/>
  <c r="O53" i="19"/>
  <c r="G53" i="19"/>
  <c r="H53" i="19" s="1"/>
  <c r="AH52" i="19"/>
  <c r="U52" i="19"/>
  <c r="S52" i="19"/>
  <c r="O52" i="19"/>
  <c r="G52" i="19"/>
  <c r="H52" i="19" s="1"/>
  <c r="AH51" i="19"/>
  <c r="U51" i="19"/>
  <c r="S51" i="19"/>
  <c r="O51" i="19"/>
  <c r="P51" i="19" s="1"/>
  <c r="Y51" i="19" s="1"/>
  <c r="H51" i="19"/>
  <c r="G51" i="19"/>
  <c r="AH50" i="19"/>
  <c r="U50" i="19"/>
  <c r="S50" i="19"/>
  <c r="O50" i="19"/>
  <c r="G50" i="19"/>
  <c r="H50" i="19" s="1"/>
  <c r="J50" i="19" s="1"/>
  <c r="AH49" i="19"/>
  <c r="Y49" i="19"/>
  <c r="U49" i="19"/>
  <c r="S49" i="19"/>
  <c r="P49" i="19"/>
  <c r="O49" i="19"/>
  <c r="G49" i="19"/>
  <c r="H49" i="19" s="1"/>
  <c r="AH48" i="19"/>
  <c r="U48" i="19"/>
  <c r="S48" i="19"/>
  <c r="O48" i="19"/>
  <c r="P48" i="19" s="1"/>
  <c r="Y48" i="19" s="1"/>
  <c r="H48" i="19"/>
  <c r="G48" i="19"/>
  <c r="AH47" i="19"/>
  <c r="U47" i="19"/>
  <c r="S47" i="19"/>
  <c r="O47" i="19"/>
  <c r="J47" i="19"/>
  <c r="G47" i="19"/>
  <c r="H47" i="19" s="1"/>
  <c r="AH46" i="19"/>
  <c r="U46" i="19"/>
  <c r="S46" i="19"/>
  <c r="O46" i="19"/>
  <c r="G46" i="19"/>
  <c r="H46" i="19" s="1"/>
  <c r="AH45" i="19"/>
  <c r="U45" i="19"/>
  <c r="S45" i="19"/>
  <c r="P45" i="19"/>
  <c r="Y45" i="19" s="1"/>
  <c r="O45" i="19"/>
  <c r="G45" i="19"/>
  <c r="H45" i="19" s="1"/>
  <c r="AH44" i="19"/>
  <c r="U44" i="19"/>
  <c r="S44" i="19"/>
  <c r="O44" i="19"/>
  <c r="G44" i="19"/>
  <c r="H44" i="19" s="1"/>
  <c r="AH43" i="19"/>
  <c r="Y43" i="19"/>
  <c r="U43" i="19"/>
  <c r="Q43" i="19"/>
  <c r="S43" i="19" s="1"/>
  <c r="P43" i="19"/>
  <c r="O43" i="19"/>
  <c r="H43" i="19"/>
  <c r="J43" i="19" s="1"/>
  <c r="G43" i="19"/>
  <c r="AH42" i="19"/>
  <c r="U42" i="19"/>
  <c r="Q42" i="19"/>
  <c r="S42" i="19" s="1"/>
  <c r="P42" i="19"/>
  <c r="Y42" i="19" s="1"/>
  <c r="O42" i="19"/>
  <c r="G42" i="19"/>
  <c r="H42" i="19" s="1"/>
  <c r="AH41" i="19"/>
  <c r="U41" i="19"/>
  <c r="S41" i="19"/>
  <c r="O41" i="19"/>
  <c r="G41" i="19"/>
  <c r="AH40" i="19"/>
  <c r="U40" i="19"/>
  <c r="S40" i="19"/>
  <c r="O40" i="19"/>
  <c r="G40" i="19"/>
  <c r="P40" i="19" s="1"/>
  <c r="Y40" i="19" s="1"/>
  <c r="AH39" i="19"/>
  <c r="U39" i="19"/>
  <c r="S39" i="19"/>
  <c r="O39" i="19"/>
  <c r="P39" i="19" s="1"/>
  <c r="H39" i="19"/>
  <c r="J39" i="19" s="1"/>
  <c r="G39" i="19"/>
  <c r="AH38" i="19"/>
  <c r="U38" i="19"/>
  <c r="S38" i="19"/>
  <c r="O38" i="19"/>
  <c r="P38" i="19" s="1"/>
  <c r="Y38" i="19" s="1"/>
  <c r="G38" i="19"/>
  <c r="H38" i="19" s="1"/>
  <c r="AH37" i="19"/>
  <c r="U37" i="19"/>
  <c r="S37" i="19"/>
  <c r="O37" i="19"/>
  <c r="J37" i="19"/>
  <c r="G37" i="19"/>
  <c r="H37" i="19" s="1"/>
  <c r="AH36" i="19"/>
  <c r="U36" i="19"/>
  <c r="S36" i="19"/>
  <c r="O36" i="19"/>
  <c r="G36" i="19"/>
  <c r="H36" i="19" s="1"/>
  <c r="J36" i="19" s="1"/>
  <c r="AH35" i="19"/>
  <c r="U35" i="19"/>
  <c r="S35" i="19"/>
  <c r="O35" i="19"/>
  <c r="G35" i="19"/>
  <c r="H35" i="19" s="1"/>
  <c r="AH34" i="19"/>
  <c r="U34" i="19"/>
  <c r="S34" i="19"/>
  <c r="P34" i="19"/>
  <c r="Y34" i="19" s="1"/>
  <c r="O34" i="19"/>
  <c r="H34" i="19"/>
  <c r="G34" i="19"/>
  <c r="AH33" i="19"/>
  <c r="U33" i="19"/>
  <c r="S33" i="19"/>
  <c r="P33" i="19"/>
  <c r="Y33" i="19" s="1"/>
  <c r="O33" i="19"/>
  <c r="G33" i="19"/>
  <c r="H33" i="19" s="1"/>
  <c r="AH32" i="19"/>
  <c r="U32" i="19"/>
  <c r="S32" i="19"/>
  <c r="O32" i="19"/>
  <c r="G32" i="19"/>
  <c r="H32" i="19" s="1"/>
  <c r="AH31" i="19"/>
  <c r="U31" i="19"/>
  <c r="S31" i="19"/>
  <c r="P31" i="19"/>
  <c r="Y31" i="19" s="1"/>
  <c r="O31" i="19"/>
  <c r="H31" i="19"/>
  <c r="G31" i="19"/>
  <c r="AH30" i="19"/>
  <c r="U30" i="19"/>
  <c r="S30" i="19"/>
  <c r="O30" i="19"/>
  <c r="P30" i="19" s="1"/>
  <c r="Y30" i="19" s="1"/>
  <c r="H30" i="19"/>
  <c r="G30" i="19"/>
  <c r="AH29" i="19"/>
  <c r="U29" i="19"/>
  <c r="S29" i="19"/>
  <c r="O29" i="19"/>
  <c r="P29" i="19" s="1"/>
  <c r="Y29" i="19" s="1"/>
  <c r="J29" i="19"/>
  <c r="L29" i="19" s="1"/>
  <c r="V29" i="19" s="1"/>
  <c r="H29" i="19"/>
  <c r="G29" i="19"/>
  <c r="AH28" i="19"/>
  <c r="U28" i="19"/>
  <c r="S28" i="19"/>
  <c r="O28" i="19"/>
  <c r="G28" i="19"/>
  <c r="H28" i="19" s="1"/>
  <c r="AH27" i="19"/>
  <c r="U27" i="19"/>
  <c r="S27" i="19"/>
  <c r="O27" i="19"/>
  <c r="J27" i="19"/>
  <c r="H27" i="19"/>
  <c r="G27" i="19"/>
  <c r="AH26" i="19"/>
  <c r="U26" i="19"/>
  <c r="S26" i="19"/>
  <c r="P26" i="19"/>
  <c r="Y26" i="19" s="1"/>
  <c r="O26" i="19"/>
  <c r="G26" i="19"/>
  <c r="H26" i="19" s="1"/>
  <c r="AH25" i="19"/>
  <c r="U25" i="19"/>
  <c r="S25" i="19"/>
  <c r="O25" i="19"/>
  <c r="P25" i="19" s="1"/>
  <c r="Y25" i="19" s="1"/>
  <c r="H25" i="19"/>
  <c r="G25" i="19"/>
  <c r="AH24" i="19"/>
  <c r="Y24" i="19"/>
  <c r="U24" i="19"/>
  <c r="Q24" i="19"/>
  <c r="S24" i="19" s="1"/>
  <c r="P24" i="19"/>
  <c r="O24" i="19"/>
  <c r="H24" i="19"/>
  <c r="J24" i="19" s="1"/>
  <c r="G24" i="19"/>
  <c r="AH23" i="19"/>
  <c r="U23" i="19"/>
  <c r="Q23" i="19"/>
  <c r="S23" i="19" s="1"/>
  <c r="V23" i="19" s="1"/>
  <c r="O23" i="19"/>
  <c r="H23" i="19"/>
  <c r="J23" i="19" s="1"/>
  <c r="L23" i="19" s="1"/>
  <c r="G23" i="19"/>
  <c r="P23" i="19" s="1"/>
  <c r="Y23" i="19" s="1"/>
  <c r="AH22" i="19"/>
  <c r="U22" i="19"/>
  <c r="S22" i="19"/>
  <c r="P22" i="19"/>
  <c r="Y22" i="19" s="1"/>
  <c r="O22" i="19"/>
  <c r="L22" i="19"/>
  <c r="G22" i="19"/>
  <c r="H22" i="19" s="1"/>
  <c r="J22" i="19" s="1"/>
  <c r="AH21" i="19"/>
  <c r="U21" i="19"/>
  <c r="S21" i="19"/>
  <c r="O21" i="19"/>
  <c r="H21" i="19"/>
  <c r="G21" i="19"/>
  <c r="AH20" i="19"/>
  <c r="U20" i="19"/>
  <c r="S20" i="19"/>
  <c r="O20" i="19"/>
  <c r="H20" i="19"/>
  <c r="G20" i="19"/>
  <c r="AH19" i="19"/>
  <c r="U19" i="19"/>
  <c r="S19" i="19"/>
  <c r="O19" i="19"/>
  <c r="G19" i="19"/>
  <c r="P19" i="19" s="1"/>
  <c r="Y19" i="19" s="1"/>
  <c r="AH18" i="19"/>
  <c r="U18" i="19"/>
  <c r="S18" i="19"/>
  <c r="O18" i="19"/>
  <c r="G18" i="19"/>
  <c r="P18" i="19" s="1"/>
  <c r="Y18" i="19" s="1"/>
  <c r="AH17" i="19"/>
  <c r="U17" i="19"/>
  <c r="S17" i="19"/>
  <c r="O17" i="19"/>
  <c r="P17" i="19" s="1"/>
  <c r="Y17" i="19" s="1"/>
  <c r="H17" i="19"/>
  <c r="J17" i="19" s="1"/>
  <c r="G17" i="19"/>
  <c r="AH16" i="19"/>
  <c r="U16" i="19"/>
  <c r="S16" i="19"/>
  <c r="O16" i="19"/>
  <c r="P16" i="19" s="1"/>
  <c r="Y16" i="19" s="1"/>
  <c r="J16" i="19"/>
  <c r="H16" i="19"/>
  <c r="L16" i="19" s="1"/>
  <c r="V16" i="19" s="1"/>
  <c r="G16" i="19"/>
  <c r="AH15" i="19"/>
  <c r="U15" i="19"/>
  <c r="S15" i="19"/>
  <c r="O15" i="19"/>
  <c r="G15" i="19"/>
  <c r="H15" i="19" s="1"/>
  <c r="AH14" i="19"/>
  <c r="Y14" i="19"/>
  <c r="U14" i="19"/>
  <c r="Q14" i="19"/>
  <c r="S14" i="19" s="1"/>
  <c r="O14" i="19"/>
  <c r="J14" i="19"/>
  <c r="L14" i="19" s="1"/>
  <c r="V14" i="19" s="1"/>
  <c r="H14" i="19"/>
  <c r="G14" i="19"/>
  <c r="P14" i="19" s="1"/>
  <c r="AH13" i="19"/>
  <c r="U13" i="19"/>
  <c r="Q13" i="19"/>
  <c r="S13" i="19" s="1"/>
  <c r="O13" i="19"/>
  <c r="H13" i="19"/>
  <c r="G13" i="19"/>
  <c r="AH12" i="19"/>
  <c r="U12" i="19"/>
  <c r="S12" i="19"/>
  <c r="O12" i="19"/>
  <c r="P12" i="19" s="1"/>
  <c r="Y12" i="19" s="1"/>
  <c r="J12" i="19"/>
  <c r="G12" i="19"/>
  <c r="H12" i="19" s="1"/>
  <c r="L12" i="19" s="1"/>
  <c r="V12" i="19" s="1"/>
  <c r="AH11" i="19"/>
  <c r="U11" i="19"/>
  <c r="S11" i="19"/>
  <c r="O11" i="19"/>
  <c r="G11" i="19"/>
  <c r="P11" i="19" s="1"/>
  <c r="Y11" i="19" s="1"/>
  <c r="AH10" i="19"/>
  <c r="U10" i="19"/>
  <c r="S10" i="19"/>
  <c r="P10" i="19"/>
  <c r="Y10" i="19" s="1"/>
  <c r="O10" i="19"/>
  <c r="H10" i="19"/>
  <c r="G10" i="19"/>
  <c r="AH9" i="19"/>
  <c r="Y9" i="19"/>
  <c r="U9" i="19"/>
  <c r="S9" i="19"/>
  <c r="V9" i="19" s="1"/>
  <c r="O9" i="19"/>
  <c r="P9" i="19" s="1"/>
  <c r="L9" i="19"/>
  <c r="J9" i="19"/>
  <c r="H9" i="19"/>
  <c r="G9" i="19"/>
  <c r="AH8" i="19"/>
  <c r="U8" i="19"/>
  <c r="Y8" i="19"/>
  <c r="G8" i="19"/>
  <c r="H8" i="19" s="1"/>
  <c r="E3" i="19"/>
  <c r="Z23" i="19" l="1"/>
  <c r="AC23" i="19" s="1"/>
  <c r="W23" i="19"/>
  <c r="AF23" i="19"/>
  <c r="AE23" i="19" s="1"/>
  <c r="Z29" i="19"/>
  <c r="AC29" i="19" s="1"/>
  <c r="W29" i="19"/>
  <c r="Z16" i="19"/>
  <c r="AC16" i="19" s="1"/>
  <c r="W16" i="19"/>
  <c r="AF22" i="19"/>
  <c r="AE22" i="19" s="1"/>
  <c r="Z14" i="19"/>
  <c r="AC14" i="19" s="1"/>
  <c r="W14" i="19"/>
  <c r="J28" i="19"/>
  <c r="L28" i="19"/>
  <c r="V28" i="19" s="1"/>
  <c r="Z12" i="19"/>
  <c r="AC12" i="19" s="1"/>
  <c r="W12" i="19"/>
  <c r="J32" i="19"/>
  <c r="L32" i="19" s="1"/>
  <c r="V32" i="19" s="1"/>
  <c r="AE9" i="19"/>
  <c r="Z9" i="19"/>
  <c r="AC9" i="19" s="1"/>
  <c r="W9" i="19"/>
  <c r="L15" i="19"/>
  <c r="J15" i="19"/>
  <c r="J10" i="19"/>
  <c r="L10" i="19" s="1"/>
  <c r="V10" i="19" s="1"/>
  <c r="L13" i="19"/>
  <c r="V13" i="19" s="1"/>
  <c r="J13" i="19"/>
  <c r="L30" i="19"/>
  <c r="V30" i="19" s="1"/>
  <c r="J33" i="19"/>
  <c r="L33" i="19" s="1"/>
  <c r="V33" i="19" s="1"/>
  <c r="L34" i="19"/>
  <c r="J34" i="19"/>
  <c r="J44" i="19"/>
  <c r="L44" i="19" s="1"/>
  <c r="V44" i="19" s="1"/>
  <c r="P13" i="19"/>
  <c r="Y13" i="19" s="1"/>
  <c r="V22" i="19"/>
  <c r="L27" i="19"/>
  <c r="V27" i="19" s="1"/>
  <c r="J30" i="19"/>
  <c r="J31" i="19"/>
  <c r="L31" i="19" s="1"/>
  <c r="V31" i="19" s="1"/>
  <c r="P35" i="19"/>
  <c r="Y35" i="19" s="1"/>
  <c r="L8" i="19"/>
  <c r="H40" i="19"/>
  <c r="J63" i="19"/>
  <c r="L63" i="19" s="1"/>
  <c r="V63" i="19" s="1"/>
  <c r="V34" i="19"/>
  <c r="AF34" i="19" s="1"/>
  <c r="AE34" i="19" s="1"/>
  <c r="J38" i="19"/>
  <c r="L38" i="19" s="1"/>
  <c r="V38" i="19" s="1"/>
  <c r="AF12" i="19"/>
  <c r="AE12" i="19" s="1"/>
  <c r="L24" i="19"/>
  <c r="V24" i="19" s="1"/>
  <c r="L37" i="19"/>
  <c r="V37" i="19" s="1"/>
  <c r="J45" i="19"/>
  <c r="L45" i="19" s="1"/>
  <c r="V45" i="19" s="1"/>
  <c r="L47" i="19"/>
  <c r="L54" i="19"/>
  <c r="V54" i="19" s="1"/>
  <c r="AF27" i="19"/>
  <c r="AE27" i="19" s="1"/>
  <c r="H19" i="19"/>
  <c r="L39" i="19"/>
  <c r="V39" i="19" s="1"/>
  <c r="AF14" i="19"/>
  <c r="AE14" i="19" s="1"/>
  <c r="L20" i="19"/>
  <c r="V20" i="19" s="1"/>
  <c r="J20" i="19"/>
  <c r="AF29" i="19"/>
  <c r="AE29" i="19" s="1"/>
  <c r="H11" i="19"/>
  <c r="P37" i="19"/>
  <c r="Y37" i="19" s="1"/>
  <c r="L42" i="19"/>
  <c r="J42" i="19"/>
  <c r="V43" i="19"/>
  <c r="L60" i="19"/>
  <c r="L17" i="19"/>
  <c r="V17" i="19" s="1"/>
  <c r="L50" i="19"/>
  <c r="V50" i="19" s="1"/>
  <c r="H18" i="19"/>
  <c r="P32" i="19"/>
  <c r="Y32" i="19" s="1"/>
  <c r="J8" i="19"/>
  <c r="P27" i="19"/>
  <c r="Y27" i="19" s="1"/>
  <c r="P20" i="19"/>
  <c r="Y20" i="19" s="1"/>
  <c r="J21" i="19"/>
  <c r="L21" i="19" s="1"/>
  <c r="V21" i="19" s="1"/>
  <c r="J25" i="19"/>
  <c r="L25" i="19" s="1"/>
  <c r="V25" i="19" s="1"/>
  <c r="L36" i="19"/>
  <c r="V36" i="19" s="1"/>
  <c r="V47" i="19"/>
  <c r="J26" i="19"/>
  <c r="L26" i="19" s="1"/>
  <c r="V26" i="19" s="1"/>
  <c r="P36" i="19"/>
  <c r="Y36" i="19" s="1"/>
  <c r="L57" i="19"/>
  <c r="V57" i="19" s="1"/>
  <c r="J57" i="19"/>
  <c r="P15" i="19"/>
  <c r="Y15" i="19" s="1"/>
  <c r="AF15" i="19"/>
  <c r="AE15" i="19" s="1"/>
  <c r="AF16" i="19"/>
  <c r="AE16" i="19" s="1"/>
  <c r="V15" i="19"/>
  <c r="P21" i="19"/>
  <c r="Y21" i="19" s="1"/>
  <c r="L35" i="19"/>
  <c r="V35" i="19" s="1"/>
  <c r="J35" i="19"/>
  <c r="H41" i="19"/>
  <c r="P41" i="19"/>
  <c r="Y41" i="19" s="1"/>
  <c r="V42" i="19"/>
  <c r="L43" i="19"/>
  <c r="J48" i="19"/>
  <c r="L48" i="19" s="1"/>
  <c r="V48" i="19" s="1"/>
  <c r="J51" i="19"/>
  <c r="L51" i="19" s="1"/>
  <c r="V51" i="19" s="1"/>
  <c r="P55" i="19"/>
  <c r="Y55" i="19" s="1"/>
  <c r="P56" i="19"/>
  <c r="Y56" i="19" s="1"/>
  <c r="P83" i="19"/>
  <c r="H83" i="19"/>
  <c r="J83" i="19" s="1"/>
  <c r="P89" i="19"/>
  <c r="H89" i="19"/>
  <c r="J89" i="19" s="1"/>
  <c r="P95" i="19"/>
  <c r="H95" i="19"/>
  <c r="J95" i="19" s="1"/>
  <c r="L58" i="19"/>
  <c r="L59" i="19"/>
  <c r="V59" i="19" s="1"/>
  <c r="J62" i="19"/>
  <c r="L62" i="19" s="1"/>
  <c r="V62" i="19" s="1"/>
  <c r="J61" i="19"/>
  <c r="L61" i="19" s="1"/>
  <c r="V61" i="19" s="1"/>
  <c r="J52" i="19"/>
  <c r="L52" i="19" s="1"/>
  <c r="V52" i="19" s="1"/>
  <c r="P57" i="19"/>
  <c r="Y57" i="19" s="1"/>
  <c r="J60" i="19"/>
  <c r="P63" i="19"/>
  <c r="Y63" i="19" s="1"/>
  <c r="J49" i="19"/>
  <c r="L49" i="19" s="1"/>
  <c r="V49" i="19" s="1"/>
  <c r="P81" i="19"/>
  <c r="H81" i="19"/>
  <c r="J81" i="19" s="1"/>
  <c r="P87" i="19"/>
  <c r="H87" i="19"/>
  <c r="J87" i="19" s="1"/>
  <c r="P93" i="19"/>
  <c r="H93" i="19"/>
  <c r="J93" i="19" s="1"/>
  <c r="J46" i="19"/>
  <c r="L46" i="19" s="1"/>
  <c r="V46" i="19" s="1"/>
  <c r="P52" i="19"/>
  <c r="Y52" i="19" s="1"/>
  <c r="J53" i="19"/>
  <c r="L53" i="19" s="1"/>
  <c r="V53" i="19" s="1"/>
  <c r="V58" i="19"/>
  <c r="AF58" i="19" s="1"/>
  <c r="AE58" i="19" s="1"/>
  <c r="P60" i="19"/>
  <c r="Y60" i="19" s="1"/>
  <c r="H65" i="19"/>
  <c r="J65" i="19" s="1"/>
  <c r="P53" i="19"/>
  <c r="Y53" i="19" s="1"/>
  <c r="V60" i="19"/>
  <c r="P46" i="19"/>
  <c r="Y46" i="19" s="1"/>
  <c r="P28" i="19"/>
  <c r="Y28" i="19" s="1"/>
  <c r="P44" i="19"/>
  <c r="Y44" i="19" s="1"/>
  <c r="P85" i="19"/>
  <c r="H85" i="19"/>
  <c r="J85" i="19" s="1"/>
  <c r="P91" i="19"/>
  <c r="H91" i="19"/>
  <c r="J91" i="19" s="1"/>
  <c r="P97" i="19"/>
  <c r="H97" i="19"/>
  <c r="J97" i="19" s="1"/>
  <c r="P47" i="19"/>
  <c r="Y47" i="19" s="1"/>
  <c r="AF47" i="19"/>
  <c r="AE47" i="19" s="1"/>
  <c r="P50" i="19"/>
  <c r="Y50" i="19" s="1"/>
  <c r="L55" i="19"/>
  <c r="V55" i="19" s="1"/>
  <c r="P54" i="19"/>
  <c r="Y54" i="19" s="1"/>
  <c r="J55" i="19"/>
  <c r="L56" i="19"/>
  <c r="V56" i="19" s="1"/>
  <c r="P71" i="19"/>
  <c r="H73" i="19"/>
  <c r="J73" i="19" s="1"/>
  <c r="AF56" i="19"/>
  <c r="AE56" i="19" s="1"/>
  <c r="Z59" i="19" l="1"/>
  <c r="AC59" i="19" s="1"/>
  <c r="W59" i="19"/>
  <c r="AF59" i="19"/>
  <c r="AE59" i="19" s="1"/>
  <c r="Z50" i="19"/>
  <c r="AC50" i="19" s="1"/>
  <c r="W50" i="19"/>
  <c r="AF50" i="19"/>
  <c r="AE50" i="19" s="1"/>
  <c r="Z17" i="19"/>
  <c r="AC17" i="19" s="1"/>
  <c r="W17" i="19"/>
  <c r="AF17" i="19"/>
  <c r="AE17" i="19" s="1"/>
  <c r="Z30" i="19"/>
  <c r="AC30" i="19" s="1"/>
  <c r="W30" i="19"/>
  <c r="AF30" i="19"/>
  <c r="AE30" i="19" s="1"/>
  <c r="Z55" i="19"/>
  <c r="AC55" i="19" s="1"/>
  <c r="W55" i="19"/>
  <c r="AF55" i="19"/>
  <c r="AE55" i="19" s="1"/>
  <c r="W26" i="19"/>
  <c r="Z26" i="19"/>
  <c r="AC26" i="19" s="1"/>
  <c r="AF26" i="19"/>
  <c r="AE26" i="19" s="1"/>
  <c r="W13" i="19"/>
  <c r="Z13" i="19"/>
  <c r="AC13" i="19" s="1"/>
  <c r="AF13" i="19"/>
  <c r="AE13" i="19" s="1"/>
  <c r="Z54" i="19"/>
  <c r="AC54" i="19" s="1"/>
  <c r="W54" i="19"/>
  <c r="AF54" i="19"/>
  <c r="AE54" i="19" s="1"/>
  <c r="W31" i="19"/>
  <c r="Z31" i="19"/>
  <c r="AC31" i="19" s="1"/>
  <c r="AF31" i="19"/>
  <c r="AE31" i="19" s="1"/>
  <c r="W10" i="19"/>
  <c r="Z10" i="19"/>
  <c r="AC10" i="19" s="1"/>
  <c r="AF10" i="19"/>
  <c r="AE10" i="19" s="1"/>
  <c r="Z25" i="19"/>
  <c r="AC25" i="19" s="1"/>
  <c r="W25" i="19"/>
  <c r="AF25" i="19"/>
  <c r="AE25" i="19" s="1"/>
  <c r="W38" i="19"/>
  <c r="AF38" i="19"/>
  <c r="AE38" i="19" s="1"/>
  <c r="Z38" i="19"/>
  <c r="AC38" i="19" s="1"/>
  <c r="W21" i="19"/>
  <c r="Z21" i="19"/>
  <c r="AC21" i="19" s="1"/>
  <c r="AF21" i="19"/>
  <c r="AE21" i="19" s="1"/>
  <c r="W45" i="19"/>
  <c r="Z45" i="19"/>
  <c r="AC45" i="19" s="1"/>
  <c r="AF45" i="19"/>
  <c r="AE45" i="19" s="1"/>
  <c r="Z32" i="19"/>
  <c r="AC32" i="19" s="1"/>
  <c r="W32" i="19"/>
  <c r="AF32" i="19"/>
  <c r="AE32" i="19" s="1"/>
  <c r="W35" i="19"/>
  <c r="Z35" i="19"/>
  <c r="AC35" i="19" s="1"/>
  <c r="AF35" i="19"/>
  <c r="AE35" i="19" s="1"/>
  <c r="Z37" i="19"/>
  <c r="AC37" i="19" s="1"/>
  <c r="W37" i="19"/>
  <c r="AF37" i="19"/>
  <c r="AE37" i="19" s="1"/>
  <c r="Z46" i="19"/>
  <c r="AC46" i="19" s="1"/>
  <c r="W46" i="19"/>
  <c r="AF46" i="19"/>
  <c r="AE46" i="19" s="1"/>
  <c r="Z61" i="19"/>
  <c r="AC61" i="19" s="1"/>
  <c r="W61" i="19"/>
  <c r="AF61" i="19"/>
  <c r="AE61" i="19" s="1"/>
  <c r="Z49" i="19"/>
  <c r="AC49" i="19" s="1"/>
  <c r="W49" i="19"/>
  <c r="AF49" i="19"/>
  <c r="AE49" i="19" s="1"/>
  <c r="W53" i="19"/>
  <c r="Z53" i="19"/>
  <c r="AC53" i="19" s="1"/>
  <c r="AF53" i="19"/>
  <c r="AE53" i="19" s="1"/>
  <c r="Z51" i="19"/>
  <c r="AC51" i="19" s="1"/>
  <c r="W51" i="19"/>
  <c r="AF51" i="19"/>
  <c r="AE51" i="19" s="1"/>
  <c r="Z36" i="19"/>
  <c r="W36" i="19"/>
  <c r="Z52" i="19"/>
  <c r="AC52" i="19" s="1"/>
  <c r="W52" i="19"/>
  <c r="AF52" i="19"/>
  <c r="AE52" i="19" s="1"/>
  <c r="Z44" i="19"/>
  <c r="AC44" i="19" s="1"/>
  <c r="W44" i="19"/>
  <c r="AF44" i="19"/>
  <c r="AE44" i="19" s="1"/>
  <c r="W62" i="19"/>
  <c r="Z62" i="19"/>
  <c r="AC62" i="19" s="1"/>
  <c r="AF62" i="19"/>
  <c r="AE62" i="19" s="1"/>
  <c r="Z48" i="19"/>
  <c r="AC48" i="19" s="1"/>
  <c r="W48" i="19"/>
  <c r="AF48" i="19"/>
  <c r="AE48" i="19" s="1"/>
  <c r="Z57" i="19"/>
  <c r="W57" i="19"/>
  <c r="AF57" i="19"/>
  <c r="AE57" i="19" s="1"/>
  <c r="Z63" i="19"/>
  <c r="AC63" i="19" s="1"/>
  <c r="W63" i="19"/>
  <c r="AF63" i="19"/>
  <c r="AE63" i="19" s="1"/>
  <c r="Z33" i="19"/>
  <c r="AC33" i="19" s="1"/>
  <c r="AF33" i="19"/>
  <c r="AE33" i="19" s="1"/>
  <c r="W33" i="19"/>
  <c r="J18" i="19"/>
  <c r="L18" i="19" s="1"/>
  <c r="V18" i="19" s="1"/>
  <c r="AF42" i="19"/>
  <c r="AE42" i="19" s="1"/>
  <c r="Z42" i="19"/>
  <c r="AC42" i="19" s="1"/>
  <c r="W42" i="19"/>
  <c r="J41" i="19"/>
  <c r="L41" i="19" s="1"/>
  <c r="V41" i="19" s="1"/>
  <c r="Z20" i="19"/>
  <c r="AC20" i="19" s="1"/>
  <c r="W20" i="19"/>
  <c r="Z60" i="19"/>
  <c r="AC60" i="19" s="1"/>
  <c r="W60" i="19"/>
  <c r="AF60" i="19"/>
  <c r="AE60" i="19" s="1"/>
  <c r="W24" i="19"/>
  <c r="AF24" i="19"/>
  <c r="AE24" i="19" s="1"/>
  <c r="Z24" i="19"/>
  <c r="AC24" i="19" s="1"/>
  <c r="W8" i="19"/>
  <c r="L40" i="19"/>
  <c r="V40" i="19" s="1"/>
  <c r="J40" i="19"/>
  <c r="AI16" i="19"/>
  <c r="AG16" i="19"/>
  <c r="AJ16" i="19" s="1"/>
  <c r="AD16" i="19"/>
  <c r="W39" i="19"/>
  <c r="AF39" i="19"/>
  <c r="AE39" i="19" s="1"/>
  <c r="AD12" i="19"/>
  <c r="AI12" i="19"/>
  <c r="AG12" i="19"/>
  <c r="AJ12" i="19" s="1"/>
  <c r="Z43" i="19"/>
  <c r="AC43" i="19" s="1"/>
  <c r="W43" i="19"/>
  <c r="AF43" i="19"/>
  <c r="AE43" i="19" s="1"/>
  <c r="AF28" i="19"/>
  <c r="AE28" i="19" s="1"/>
  <c r="Z28" i="19"/>
  <c r="AC28" i="19" s="1"/>
  <c r="W28" i="19"/>
  <c r="AD29" i="19"/>
  <c r="AI29" i="19"/>
  <c r="AG29" i="19"/>
  <c r="AJ29" i="19" s="1"/>
  <c r="AF20" i="19"/>
  <c r="AE20" i="19" s="1"/>
  <c r="J19" i="19"/>
  <c r="L19" i="19"/>
  <c r="V19" i="19" s="1"/>
  <c r="Z56" i="19"/>
  <c r="AC56" i="19" s="1"/>
  <c r="W56" i="19"/>
  <c r="AE8" i="19"/>
  <c r="W34" i="19"/>
  <c r="Z34" i="19"/>
  <c r="AC34" i="19" s="1"/>
  <c r="Z58" i="19"/>
  <c r="AC58" i="19" s="1"/>
  <c r="W58" i="19"/>
  <c r="Z15" i="19"/>
  <c r="AC15" i="19" s="1"/>
  <c r="W15" i="19"/>
  <c r="Z47" i="19"/>
  <c r="AC47" i="19" s="1"/>
  <c r="W47" i="19"/>
  <c r="AI14" i="19"/>
  <c r="AG14" i="19"/>
  <c r="AJ14" i="19" s="1"/>
  <c r="AD14" i="19"/>
  <c r="Z27" i="19"/>
  <c r="AC27" i="19" s="1"/>
  <c r="W27" i="19"/>
  <c r="AG23" i="19"/>
  <c r="AJ23" i="19" s="1"/>
  <c r="AD23" i="19"/>
  <c r="AI23" i="19"/>
  <c r="J11" i="19"/>
  <c r="L11" i="19" s="1"/>
  <c r="V11" i="19" s="1"/>
  <c r="Z22" i="19"/>
  <c r="AC22" i="19" s="1"/>
  <c r="W22" i="19"/>
  <c r="AD9" i="19"/>
  <c r="AI9" i="19"/>
  <c r="AG9" i="19"/>
  <c r="AJ9" i="19" s="1"/>
  <c r="Z41" i="19" l="1"/>
  <c r="AC41" i="19" s="1"/>
  <c r="W41" i="19"/>
  <c r="AF41" i="19"/>
  <c r="AE41" i="19" s="1"/>
  <c r="Z18" i="19"/>
  <c r="AC18" i="19" s="1"/>
  <c r="W18" i="19"/>
  <c r="AF18" i="19"/>
  <c r="AE18" i="19" s="1"/>
  <c r="Z11" i="19"/>
  <c r="AC11" i="19" s="1"/>
  <c r="W11" i="19"/>
  <c r="AF11" i="19"/>
  <c r="AE11" i="19" s="1"/>
  <c r="W40" i="19"/>
  <c r="Z40" i="19"/>
  <c r="AC40" i="19" s="1"/>
  <c r="AF40" i="19"/>
  <c r="AE40" i="19" s="1"/>
  <c r="AI38" i="19"/>
  <c r="AG38" i="19"/>
  <c r="AJ38" i="19" s="1"/>
  <c r="AD38" i="19"/>
  <c r="AG56" i="19"/>
  <c r="AJ56" i="19" s="1"/>
  <c r="AD56" i="19"/>
  <c r="AI56" i="19"/>
  <c r="AD43" i="19"/>
  <c r="AI43" i="19"/>
  <c r="AG43" i="19"/>
  <c r="AJ43" i="19" s="1"/>
  <c r="AI8" i="19"/>
  <c r="AJ8" i="19"/>
  <c r="AI35" i="19"/>
  <c r="AD35" i="19"/>
  <c r="AG35" i="19"/>
  <c r="AJ35" i="19" s="1"/>
  <c r="AD52" i="19"/>
  <c r="AI52" i="19"/>
  <c r="AG52" i="19"/>
  <c r="AJ52" i="19" s="1"/>
  <c r="AG54" i="19"/>
  <c r="AJ54" i="19" s="1"/>
  <c r="AD54" i="19"/>
  <c r="AI54" i="19"/>
  <c r="AG30" i="19"/>
  <c r="AJ30" i="19" s="1"/>
  <c r="AD30" i="19"/>
  <c r="AI30" i="19"/>
  <c r="AG42" i="19"/>
  <c r="AJ42" i="19" s="1"/>
  <c r="AD42" i="19"/>
  <c r="AI42" i="19"/>
  <c r="AG24" i="19"/>
  <c r="AJ24" i="19" s="1"/>
  <c r="AD24" i="19"/>
  <c r="AI24" i="19"/>
  <c r="AI13" i="19"/>
  <c r="AG13" i="19"/>
  <c r="AJ13" i="19" s="1"/>
  <c r="AD13" i="19"/>
  <c r="AG32" i="19"/>
  <c r="AJ32" i="19" s="1"/>
  <c r="AI32" i="19"/>
  <c r="AD32" i="19"/>
  <c r="W19" i="19"/>
  <c r="AF19" i="19"/>
  <c r="AE19" i="19" s="1"/>
  <c r="Z19" i="19"/>
  <c r="AC19" i="19" s="1"/>
  <c r="AD49" i="19"/>
  <c r="AI49" i="19"/>
  <c r="AG49" i="19"/>
  <c r="AJ49" i="19" s="1"/>
  <c r="AI36" i="19"/>
  <c r="AG36" i="19"/>
  <c r="AJ36" i="19" s="1"/>
  <c r="AG57" i="19"/>
  <c r="AJ57" i="19" s="1"/>
  <c r="AI57" i="19"/>
  <c r="AI47" i="19"/>
  <c r="AG47" i="19"/>
  <c r="AJ47" i="19" s="1"/>
  <c r="AD47" i="19"/>
  <c r="AD61" i="19"/>
  <c r="AI61" i="19"/>
  <c r="AG61" i="19"/>
  <c r="AJ61" i="19" s="1"/>
  <c r="AI17" i="19"/>
  <c r="AG17" i="19"/>
  <c r="AJ17" i="19" s="1"/>
  <c r="AD17" i="19"/>
  <c r="AG15" i="19"/>
  <c r="AJ15" i="19" s="1"/>
  <c r="AI15" i="19"/>
  <c r="AD15" i="19"/>
  <c r="AG39" i="19"/>
  <c r="AJ39" i="19" s="1"/>
  <c r="AD39" i="19"/>
  <c r="AI39" i="19"/>
  <c r="AI62" i="19"/>
  <c r="AG62" i="19"/>
  <c r="AJ62" i="19" s="1"/>
  <c r="AD62" i="19"/>
  <c r="AD45" i="19"/>
  <c r="AI45" i="19"/>
  <c r="AG45" i="19"/>
  <c r="AJ45" i="19" s="1"/>
  <c r="AG10" i="19"/>
  <c r="AJ10" i="19" s="1"/>
  <c r="AD10" i="19"/>
  <c r="AI10" i="19"/>
  <c r="AD26" i="19"/>
  <c r="AG26" i="19"/>
  <c r="AJ26" i="19" s="1"/>
  <c r="AI26" i="19"/>
  <c r="AI22" i="19"/>
  <c r="AD22" i="19"/>
  <c r="AG22" i="19"/>
  <c r="AJ22" i="19" s="1"/>
  <c r="AD48" i="19"/>
  <c r="AI48" i="19"/>
  <c r="AG48" i="19"/>
  <c r="AJ48" i="19" s="1"/>
  <c r="AI25" i="19"/>
  <c r="AG25" i="19"/>
  <c r="AJ25" i="19" s="1"/>
  <c r="AD25" i="19"/>
  <c r="AD58" i="19"/>
  <c r="AG58" i="19"/>
  <c r="AJ58" i="19" s="1"/>
  <c r="AI58" i="19"/>
  <c r="AG60" i="19"/>
  <c r="AJ60" i="19" s="1"/>
  <c r="AD60" i="19"/>
  <c r="AI60" i="19"/>
  <c r="AG33" i="19"/>
  <c r="AJ33" i="19" s="1"/>
  <c r="AI33" i="19"/>
  <c r="AD33" i="19"/>
  <c r="AI51" i="19"/>
  <c r="AG51" i="19"/>
  <c r="AJ51" i="19" s="1"/>
  <c r="AD51" i="19"/>
  <c r="AD46" i="19"/>
  <c r="AI46" i="19"/>
  <c r="AG46" i="19"/>
  <c r="AJ46" i="19" s="1"/>
  <c r="AI50" i="19"/>
  <c r="AG50" i="19"/>
  <c r="AJ50" i="19" s="1"/>
  <c r="AD50" i="19"/>
  <c r="AD34" i="19"/>
  <c r="AG34" i="19"/>
  <c r="AJ34" i="19" s="1"/>
  <c r="AI34" i="19"/>
  <c r="AI28" i="19"/>
  <c r="AG28" i="19"/>
  <c r="AJ28" i="19" s="1"/>
  <c r="AD28" i="19"/>
  <c r="AG20" i="19"/>
  <c r="AJ20" i="19" s="1"/>
  <c r="AI20" i="19"/>
  <c r="AD20" i="19"/>
  <c r="AD53" i="19"/>
  <c r="AI53" i="19"/>
  <c r="AG53" i="19"/>
  <c r="AJ53" i="19" s="1"/>
  <c r="AG21" i="19"/>
  <c r="AJ21" i="19" s="1"/>
  <c r="AD21" i="19"/>
  <c r="AI21" i="19"/>
  <c r="AG31" i="19"/>
  <c r="AJ31" i="19" s="1"/>
  <c r="AI31" i="19"/>
  <c r="AD31" i="19"/>
  <c r="AD27" i="19"/>
  <c r="AI27" i="19"/>
  <c r="AG27" i="19"/>
  <c r="AJ27" i="19" s="1"/>
  <c r="AG63" i="19"/>
  <c r="AJ63" i="19" s="1"/>
  <c r="AD63" i="19"/>
  <c r="AI63" i="19"/>
  <c r="AI44" i="19"/>
  <c r="AG44" i="19"/>
  <c r="AJ44" i="19" s="1"/>
  <c r="AD44" i="19"/>
  <c r="AI37" i="19"/>
  <c r="AG37" i="19"/>
  <c r="AJ37" i="19" s="1"/>
  <c r="AD55" i="19"/>
  <c r="AG55" i="19"/>
  <c r="AJ55" i="19" s="1"/>
  <c r="AI55" i="19"/>
  <c r="AG59" i="19"/>
  <c r="AJ59" i="19" s="1"/>
  <c r="AD59" i="19"/>
  <c r="AI59" i="19"/>
  <c r="AI40" i="19" l="1"/>
  <c r="AG40" i="19"/>
  <c r="AJ40" i="19" s="1"/>
  <c r="AD40" i="19"/>
  <c r="AG11" i="19"/>
  <c r="AJ11" i="19" s="1"/>
  <c r="AI11" i="19"/>
  <c r="AD11" i="19"/>
  <c r="AG19" i="19"/>
  <c r="AJ19" i="19" s="1"/>
  <c r="AI19" i="19"/>
  <c r="AD19" i="19"/>
  <c r="AI18" i="19"/>
  <c r="AD18" i="19"/>
  <c r="AG18" i="19"/>
  <c r="AJ18" i="19" s="1"/>
  <c r="AD41" i="19"/>
  <c r="AG41" i="19"/>
  <c r="AJ41" i="19" s="1"/>
  <c r="AI41" i="19"/>
  <c r="AK17" i="6" l="1"/>
  <c r="K18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17" i="6"/>
  <c r="I18" i="6" l="1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17" i="6"/>
  <c r="J17" i="6"/>
  <c r="K17" i="6" s="1"/>
  <c r="H23" i="3" l="1"/>
  <c r="J23" i="3"/>
  <c r="G11" i="2"/>
  <c r="H11" i="2"/>
  <c r="I11" i="2"/>
  <c r="AY2" i="13" l="1"/>
  <c r="I10" i="17"/>
  <c r="M10" i="17" l="1"/>
  <c r="O10" i="17"/>
  <c r="AH65" i="18"/>
  <c r="AC65" i="18" s="1"/>
  <c r="AF65" i="18"/>
  <c r="AB65" i="18"/>
  <c r="P65" i="18"/>
  <c r="N65" i="18"/>
  <c r="K65" i="18"/>
  <c r="J65" i="18"/>
  <c r="AH64" i="18"/>
  <c r="AC64" i="18" s="1"/>
  <c r="AF64" i="18"/>
  <c r="AB64" i="18"/>
  <c r="P64" i="18"/>
  <c r="K64" i="18" s="1"/>
  <c r="N64" i="18"/>
  <c r="J64" i="18"/>
  <c r="AH63" i="18"/>
  <c r="AC63" i="18" s="1"/>
  <c r="AF63" i="18"/>
  <c r="AB63" i="18"/>
  <c r="P63" i="18"/>
  <c r="K63" i="18" s="1"/>
  <c r="N63" i="18"/>
  <c r="J63" i="18"/>
  <c r="AH62" i="18"/>
  <c r="AC62" i="18" s="1"/>
  <c r="AF62" i="18"/>
  <c r="AB62" i="18"/>
  <c r="P62" i="18"/>
  <c r="K62" i="18" s="1"/>
  <c r="N62" i="18"/>
  <c r="J62" i="18"/>
  <c r="AH61" i="18"/>
  <c r="AC61" i="18" s="1"/>
  <c r="AF61" i="18"/>
  <c r="AB61" i="18"/>
  <c r="P61" i="18"/>
  <c r="K61" i="18" s="1"/>
  <c r="N61" i="18"/>
  <c r="J61" i="18"/>
  <c r="AH60" i="18"/>
  <c r="AC60" i="18" s="1"/>
  <c r="AF60" i="18"/>
  <c r="AB60" i="18"/>
  <c r="P60" i="18"/>
  <c r="K60" i="18" s="1"/>
  <c r="N60" i="18"/>
  <c r="J60" i="18"/>
  <c r="AH59" i="18"/>
  <c r="AC59" i="18" s="1"/>
  <c r="AF59" i="18"/>
  <c r="AB59" i="18"/>
  <c r="P59" i="18"/>
  <c r="K59" i="18" s="1"/>
  <c r="N59" i="18"/>
  <c r="J59" i="18"/>
  <c r="AH58" i="18"/>
  <c r="AC58" i="18" s="1"/>
  <c r="AF58" i="18"/>
  <c r="AB58" i="18"/>
  <c r="P58" i="18"/>
  <c r="K58" i="18" s="1"/>
  <c r="N58" i="18"/>
  <c r="J58" i="18"/>
  <c r="AH57" i="18"/>
  <c r="AC57" i="18" s="1"/>
  <c r="AF57" i="18"/>
  <c r="AB57" i="18"/>
  <c r="P57" i="18"/>
  <c r="K57" i="18" s="1"/>
  <c r="N57" i="18"/>
  <c r="J57" i="18"/>
  <c r="AH56" i="18"/>
  <c r="AC56" i="18" s="1"/>
  <c r="AF56" i="18"/>
  <c r="AB56" i="18"/>
  <c r="P56" i="18"/>
  <c r="K56" i="18" s="1"/>
  <c r="N56" i="18"/>
  <c r="J56" i="18"/>
  <c r="AH55" i="18"/>
  <c r="AC55" i="18" s="1"/>
  <c r="AF55" i="18"/>
  <c r="AB55" i="18"/>
  <c r="P55" i="18"/>
  <c r="K55" i="18" s="1"/>
  <c r="N55" i="18"/>
  <c r="J55" i="18"/>
  <c r="AH54" i="18"/>
  <c r="AC54" i="18" s="1"/>
  <c r="AF54" i="18"/>
  <c r="AB54" i="18"/>
  <c r="P54" i="18"/>
  <c r="K54" i="18" s="1"/>
  <c r="N54" i="18"/>
  <c r="J54" i="18"/>
  <c r="AH53" i="18"/>
  <c r="AC53" i="18" s="1"/>
  <c r="AF53" i="18"/>
  <c r="AB53" i="18"/>
  <c r="P53" i="18"/>
  <c r="K53" i="18" s="1"/>
  <c r="N53" i="18"/>
  <c r="J53" i="18"/>
  <c r="AH52" i="18"/>
  <c r="AC52" i="18" s="1"/>
  <c r="AF52" i="18"/>
  <c r="AB52" i="18"/>
  <c r="P52" i="18"/>
  <c r="K52" i="18" s="1"/>
  <c r="N52" i="18"/>
  <c r="J52" i="18"/>
  <c r="AH51" i="18"/>
  <c r="AC51" i="18" s="1"/>
  <c r="AF51" i="18"/>
  <c r="AB51" i="18"/>
  <c r="P51" i="18"/>
  <c r="K51" i="18" s="1"/>
  <c r="N51" i="18"/>
  <c r="J51" i="18"/>
  <c r="AH50" i="18"/>
  <c r="AC50" i="18" s="1"/>
  <c r="AF50" i="18"/>
  <c r="AB50" i="18"/>
  <c r="P50" i="18"/>
  <c r="K50" i="18" s="1"/>
  <c r="N50" i="18"/>
  <c r="J50" i="18"/>
  <c r="AH49" i="18"/>
  <c r="AC49" i="18" s="1"/>
  <c r="AF49" i="18"/>
  <c r="AB49" i="18"/>
  <c r="P49" i="18"/>
  <c r="K49" i="18" s="1"/>
  <c r="N49" i="18"/>
  <c r="J49" i="18"/>
  <c r="AH48" i="18"/>
  <c r="AC48" i="18" s="1"/>
  <c r="AF48" i="18"/>
  <c r="AB48" i="18"/>
  <c r="P48" i="18"/>
  <c r="K48" i="18" s="1"/>
  <c r="N48" i="18"/>
  <c r="J48" i="18"/>
  <c r="AH47" i="18"/>
  <c r="AC47" i="18" s="1"/>
  <c r="AF47" i="18"/>
  <c r="AB47" i="18"/>
  <c r="P47" i="18"/>
  <c r="K47" i="18" s="1"/>
  <c r="N47" i="18"/>
  <c r="J47" i="18"/>
  <c r="AH46" i="18"/>
  <c r="AC46" i="18" s="1"/>
  <c r="AF46" i="18"/>
  <c r="AB46" i="18"/>
  <c r="P46" i="18"/>
  <c r="N46" i="18"/>
  <c r="K46" i="18"/>
  <c r="J46" i="18"/>
  <c r="AH45" i="18"/>
  <c r="AC45" i="18" s="1"/>
  <c r="AF45" i="18"/>
  <c r="AB45" i="18"/>
  <c r="P45" i="18"/>
  <c r="K45" i="18" s="1"/>
  <c r="N45" i="18"/>
  <c r="J45" i="18"/>
  <c r="AH44" i="18"/>
  <c r="AC44" i="18" s="1"/>
  <c r="AF44" i="18"/>
  <c r="AB44" i="18"/>
  <c r="P44" i="18"/>
  <c r="K44" i="18" s="1"/>
  <c r="N44" i="18"/>
  <c r="J44" i="18"/>
  <c r="AH43" i="18"/>
  <c r="AC43" i="18" s="1"/>
  <c r="AF43" i="18"/>
  <c r="AB43" i="18"/>
  <c r="P43" i="18"/>
  <c r="K43" i="18" s="1"/>
  <c r="N43" i="18"/>
  <c r="J43" i="18"/>
  <c r="AH42" i="18"/>
  <c r="AC42" i="18" s="1"/>
  <c r="AF42" i="18"/>
  <c r="AB42" i="18"/>
  <c r="P42" i="18"/>
  <c r="K42" i="18" s="1"/>
  <c r="N42" i="18"/>
  <c r="J42" i="18"/>
  <c r="AH41" i="18"/>
  <c r="AC41" i="18" s="1"/>
  <c r="AF41" i="18"/>
  <c r="AB41" i="18"/>
  <c r="P41" i="18"/>
  <c r="K41" i="18" s="1"/>
  <c r="N41" i="18"/>
  <c r="J41" i="18"/>
  <c r="AH40" i="18"/>
  <c r="AC40" i="18" s="1"/>
  <c r="AF40" i="18"/>
  <c r="AB40" i="18"/>
  <c r="P40" i="18"/>
  <c r="K40" i="18" s="1"/>
  <c r="N40" i="18"/>
  <c r="J40" i="18"/>
  <c r="AH39" i="18"/>
  <c r="AC39" i="18" s="1"/>
  <c r="AF39" i="18"/>
  <c r="AB39" i="18"/>
  <c r="P39" i="18"/>
  <c r="K39" i="18" s="1"/>
  <c r="N39" i="18"/>
  <c r="J39" i="18"/>
  <c r="AH38" i="18"/>
  <c r="AC38" i="18" s="1"/>
  <c r="AF38" i="18"/>
  <c r="AB38" i="18"/>
  <c r="P38" i="18"/>
  <c r="K38" i="18" s="1"/>
  <c r="N38" i="18"/>
  <c r="J38" i="18"/>
  <c r="AH37" i="18"/>
  <c r="AC37" i="18" s="1"/>
  <c r="AF37" i="18"/>
  <c r="AB37" i="18"/>
  <c r="P37" i="18"/>
  <c r="K37" i="18" s="1"/>
  <c r="N37" i="18"/>
  <c r="J37" i="18"/>
  <c r="AH36" i="18"/>
  <c r="AC36" i="18" s="1"/>
  <c r="AF36" i="18"/>
  <c r="AB36" i="18"/>
  <c r="P36" i="18"/>
  <c r="K36" i="18" s="1"/>
  <c r="N36" i="18"/>
  <c r="J36" i="18"/>
  <c r="AH35" i="18"/>
  <c r="AC35" i="18" s="1"/>
  <c r="AF35" i="18"/>
  <c r="AB35" i="18"/>
  <c r="P35" i="18"/>
  <c r="K35" i="18" s="1"/>
  <c r="N35" i="18"/>
  <c r="J35" i="18"/>
  <c r="AH34" i="18"/>
  <c r="AC34" i="18" s="1"/>
  <c r="AF34" i="18"/>
  <c r="AB34" i="18"/>
  <c r="P34" i="18"/>
  <c r="K34" i="18" s="1"/>
  <c r="N34" i="18"/>
  <c r="J34" i="18"/>
  <c r="AH33" i="18"/>
  <c r="AC33" i="18" s="1"/>
  <c r="AF33" i="18"/>
  <c r="AB33" i="18"/>
  <c r="P33" i="18"/>
  <c r="K33" i="18" s="1"/>
  <c r="N33" i="18"/>
  <c r="J33" i="18"/>
  <c r="AH32" i="18"/>
  <c r="AC32" i="18" s="1"/>
  <c r="AF32" i="18"/>
  <c r="AB32" i="18"/>
  <c r="P32" i="18"/>
  <c r="K32" i="18" s="1"/>
  <c r="N32" i="18"/>
  <c r="J32" i="18"/>
  <c r="AH31" i="18"/>
  <c r="AC31" i="18" s="1"/>
  <c r="AF31" i="18"/>
  <c r="AB31" i="18"/>
  <c r="P31" i="18"/>
  <c r="K31" i="18" s="1"/>
  <c r="N31" i="18"/>
  <c r="J31" i="18"/>
  <c r="AH30" i="18"/>
  <c r="AC30" i="18" s="1"/>
  <c r="AF30" i="18"/>
  <c r="AB30" i="18"/>
  <c r="P30" i="18"/>
  <c r="K30" i="18" s="1"/>
  <c r="N30" i="18"/>
  <c r="J30" i="18"/>
  <c r="AH29" i="18"/>
  <c r="AC29" i="18" s="1"/>
  <c r="AF29" i="18"/>
  <c r="AB29" i="18"/>
  <c r="P29" i="18"/>
  <c r="K29" i="18" s="1"/>
  <c r="N29" i="18"/>
  <c r="J29" i="18"/>
  <c r="AH28" i="18"/>
  <c r="AC28" i="18" s="1"/>
  <c r="AF28" i="18"/>
  <c r="AB28" i="18"/>
  <c r="P28" i="18"/>
  <c r="K28" i="18" s="1"/>
  <c r="N28" i="18"/>
  <c r="J28" i="18"/>
  <c r="AH27" i="18"/>
  <c r="AC27" i="18" s="1"/>
  <c r="AF27" i="18"/>
  <c r="AB27" i="18"/>
  <c r="P27" i="18"/>
  <c r="K27" i="18" s="1"/>
  <c r="N27" i="18"/>
  <c r="J27" i="18"/>
  <c r="AH26" i="18"/>
  <c r="AC26" i="18" s="1"/>
  <c r="AF26" i="18"/>
  <c r="AB26" i="18"/>
  <c r="P26" i="18"/>
  <c r="K26" i="18" s="1"/>
  <c r="N26" i="18"/>
  <c r="J26" i="18"/>
  <c r="AH25" i="18"/>
  <c r="AC25" i="18" s="1"/>
  <c r="AF25" i="18"/>
  <c r="AB25" i="18"/>
  <c r="P25" i="18"/>
  <c r="K25" i="18" s="1"/>
  <c r="N25" i="18"/>
  <c r="J25" i="18"/>
  <c r="AH24" i="18"/>
  <c r="AC24" i="18" s="1"/>
  <c r="AF24" i="18"/>
  <c r="AB24" i="18"/>
  <c r="P24" i="18"/>
  <c r="K24" i="18" s="1"/>
  <c r="N24" i="18"/>
  <c r="J24" i="18"/>
  <c r="AH23" i="18"/>
  <c r="AC23" i="18" s="1"/>
  <c r="AF23" i="18"/>
  <c r="AB23" i="18"/>
  <c r="P23" i="18"/>
  <c r="K23" i="18" s="1"/>
  <c r="N23" i="18"/>
  <c r="J23" i="18"/>
  <c r="AH22" i="18"/>
  <c r="AC22" i="18" s="1"/>
  <c r="AF22" i="18"/>
  <c r="AB22" i="18"/>
  <c r="P22" i="18"/>
  <c r="K22" i="18" s="1"/>
  <c r="N22" i="18"/>
  <c r="J22" i="18"/>
  <c r="AH21" i="18"/>
  <c r="AC21" i="18" s="1"/>
  <c r="AF21" i="18"/>
  <c r="AB21" i="18"/>
  <c r="P21" i="18"/>
  <c r="K21" i="18" s="1"/>
  <c r="N21" i="18"/>
  <c r="J21" i="18"/>
  <c r="AH20" i="18"/>
  <c r="AC20" i="18" s="1"/>
  <c r="AF20" i="18"/>
  <c r="AB20" i="18"/>
  <c r="P20" i="18"/>
  <c r="K20" i="18" s="1"/>
  <c r="N20" i="18"/>
  <c r="J20" i="18"/>
  <c r="AH19" i="18"/>
  <c r="AC19" i="18" s="1"/>
  <c r="AF19" i="18"/>
  <c r="AB19" i="18"/>
  <c r="P19" i="18"/>
  <c r="N19" i="18"/>
  <c r="K19" i="18"/>
  <c r="J19" i="18"/>
  <c r="AH18" i="18"/>
  <c r="AC18" i="18" s="1"/>
  <c r="AF18" i="18"/>
  <c r="AB18" i="18"/>
  <c r="P18" i="18"/>
  <c r="K18" i="18" s="1"/>
  <c r="N18" i="18"/>
  <c r="J18" i="18"/>
  <c r="AH17" i="18"/>
  <c r="AC17" i="18" s="1"/>
  <c r="AF17" i="18"/>
  <c r="AB17" i="18"/>
  <c r="P17" i="18"/>
  <c r="K17" i="18" s="1"/>
  <c r="N17" i="18"/>
  <c r="J17" i="18"/>
  <c r="AH16" i="18"/>
  <c r="AC16" i="18" s="1"/>
  <c r="AF16" i="18"/>
  <c r="AB16" i="18"/>
  <c r="P16" i="18"/>
  <c r="K16" i="18" s="1"/>
  <c r="N16" i="18"/>
  <c r="J16" i="18"/>
  <c r="L16" i="18" s="1"/>
  <c r="AH15" i="18"/>
  <c r="AC15" i="18" s="1"/>
  <c r="AF15" i="18"/>
  <c r="AB15" i="18"/>
  <c r="P15" i="18"/>
  <c r="K15" i="18" s="1"/>
  <c r="N15" i="18"/>
  <c r="J15" i="18"/>
  <c r="AH14" i="18"/>
  <c r="AC14" i="18" s="1"/>
  <c r="AF14" i="18"/>
  <c r="AB14" i="18"/>
  <c r="P14" i="18"/>
  <c r="K14" i="18" s="1"/>
  <c r="N14" i="18"/>
  <c r="J14" i="18"/>
  <c r="AH13" i="18"/>
  <c r="AC13" i="18" s="1"/>
  <c r="AF13" i="18"/>
  <c r="AB13" i="18"/>
  <c r="P13" i="18"/>
  <c r="K13" i="18" s="1"/>
  <c r="N13" i="18"/>
  <c r="J13" i="18"/>
  <c r="AH12" i="18"/>
  <c r="AC12" i="18" s="1"/>
  <c r="AF12" i="18"/>
  <c r="AB12" i="18"/>
  <c r="P12" i="18"/>
  <c r="K12" i="18" s="1"/>
  <c r="N12" i="18"/>
  <c r="J12" i="18"/>
  <c r="AH11" i="18"/>
  <c r="AC11" i="18" s="1"/>
  <c r="AF11" i="18"/>
  <c r="AB11" i="18"/>
  <c r="P11" i="18"/>
  <c r="K11" i="18" s="1"/>
  <c r="N11" i="18"/>
  <c r="J11" i="18"/>
  <c r="AH10" i="18"/>
  <c r="AC10" i="18" s="1"/>
  <c r="AB10" i="18"/>
  <c r="P10" i="18"/>
  <c r="N10" i="18"/>
  <c r="K10" i="18"/>
  <c r="J10" i="18"/>
  <c r="L40" i="18" l="1"/>
  <c r="L53" i="18"/>
  <c r="AD47" i="18"/>
  <c r="AI47" i="18" s="1"/>
  <c r="L60" i="18"/>
  <c r="L47" i="18"/>
  <c r="AD25" i="18"/>
  <c r="AI25" i="18" s="1"/>
  <c r="AD43" i="18"/>
  <c r="AI43" i="18" s="1"/>
  <c r="L55" i="18"/>
  <c r="L15" i="18"/>
  <c r="L59" i="18"/>
  <c r="AD22" i="18"/>
  <c r="AI22" i="18" s="1"/>
  <c r="AD52" i="18"/>
  <c r="AI52" i="18" s="1"/>
  <c r="AD61" i="18"/>
  <c r="AI61" i="18" s="1"/>
  <c r="AD11" i="18"/>
  <c r="AI11" i="18" s="1"/>
  <c r="AD60" i="18"/>
  <c r="AI60" i="18" s="1"/>
  <c r="L17" i="18"/>
  <c r="AD62" i="18"/>
  <c r="AI62" i="18" s="1"/>
  <c r="L20" i="18"/>
  <c r="L54" i="18"/>
  <c r="AD18" i="18"/>
  <c r="AI18" i="18" s="1"/>
  <c r="L39" i="18"/>
  <c r="AD13" i="18"/>
  <c r="AI13" i="18" s="1"/>
  <c r="L25" i="18"/>
  <c r="AD26" i="18"/>
  <c r="AI26" i="18" s="1"/>
  <c r="AD40" i="18"/>
  <c r="L34" i="18"/>
  <c r="L32" i="18"/>
  <c r="AD53" i="18"/>
  <c r="AI53" i="18" s="1"/>
  <c r="AD32" i="18"/>
  <c r="AI32" i="18" s="1"/>
  <c r="L24" i="18"/>
  <c r="L29" i="18"/>
  <c r="L36" i="18"/>
  <c r="AD37" i="18"/>
  <c r="AI37" i="18" s="1"/>
  <c r="AD48" i="18"/>
  <c r="AI48" i="18" s="1"/>
  <c r="AD65" i="18"/>
  <c r="AI65" i="18" s="1"/>
  <c r="AD17" i="18"/>
  <c r="AI17" i="18" s="1"/>
  <c r="L19" i="18"/>
  <c r="L31" i="18"/>
  <c r="L41" i="18"/>
  <c r="AD46" i="18"/>
  <c r="AI46" i="18" s="1"/>
  <c r="L11" i="18"/>
  <c r="L26" i="18"/>
  <c r="AD57" i="18"/>
  <c r="AI57" i="18" s="1"/>
  <c r="AD15" i="18"/>
  <c r="AI15" i="18" s="1"/>
  <c r="AD19" i="18"/>
  <c r="AI19" i="18" s="1"/>
  <c r="L21" i="18"/>
  <c r="AD45" i="18"/>
  <c r="AI45" i="18" s="1"/>
  <c r="L61" i="18"/>
  <c r="AD35" i="18"/>
  <c r="AI35" i="18" s="1"/>
  <c r="AD14" i="18"/>
  <c r="AI14" i="18" s="1"/>
  <c r="L42" i="18"/>
  <c r="L44" i="18"/>
  <c r="L51" i="18"/>
  <c r="AD27" i="18"/>
  <c r="AI27" i="18" s="1"/>
  <c r="AD30" i="18"/>
  <c r="AI30" i="18" s="1"/>
  <c r="AD50" i="18"/>
  <c r="AI50" i="18" s="1"/>
  <c r="L57" i="18"/>
  <c r="AD63" i="18"/>
  <c r="AI63" i="18" s="1"/>
  <c r="L65" i="18"/>
  <c r="AD42" i="18"/>
  <c r="AI42" i="18" s="1"/>
  <c r="L10" i="18"/>
  <c r="AD16" i="18"/>
  <c r="AI16" i="18" s="1"/>
  <c r="AQ16" i="18" s="1"/>
  <c r="AR16" i="18" s="1"/>
  <c r="AS16" i="18" s="1"/>
  <c r="L23" i="18"/>
  <c r="AD29" i="18"/>
  <c r="AI29" i="18" s="1"/>
  <c r="L33" i="18"/>
  <c r="AD39" i="18"/>
  <c r="AI39" i="18" s="1"/>
  <c r="L46" i="18"/>
  <c r="L18" i="18"/>
  <c r="AD24" i="18"/>
  <c r="AI24" i="18" s="1"/>
  <c r="AD31" i="18"/>
  <c r="AI31" i="18" s="1"/>
  <c r="AD34" i="18"/>
  <c r="AI34" i="18" s="1"/>
  <c r="L35" i="18"/>
  <c r="AD36" i="18"/>
  <c r="AI36" i="18" s="1"/>
  <c r="AD49" i="18"/>
  <c r="AI49" i="18" s="1"/>
  <c r="L56" i="18"/>
  <c r="L13" i="18"/>
  <c r="L30" i="18"/>
  <c r="AD41" i="18"/>
  <c r="AI41" i="18" s="1"/>
  <c r="L43" i="18"/>
  <c r="L48" i="18"/>
  <c r="AD54" i="18"/>
  <c r="AI54" i="18" s="1"/>
  <c r="L64" i="18"/>
  <c r="AD58" i="18"/>
  <c r="AI58" i="18" s="1"/>
  <c r="AD10" i="18"/>
  <c r="AR10" i="18" s="1"/>
  <c r="AD23" i="18"/>
  <c r="AI23" i="18" s="1"/>
  <c r="AD28" i="18"/>
  <c r="AI28" i="18" s="1"/>
  <c r="AD33" i="18"/>
  <c r="AI33" i="18" s="1"/>
  <c r="AD51" i="18"/>
  <c r="AI51" i="18" s="1"/>
  <c r="L58" i="18"/>
  <c r="AD59" i="18"/>
  <c r="AI59" i="18" s="1"/>
  <c r="AD64" i="18"/>
  <c r="AI64" i="18" s="1"/>
  <c r="L52" i="18"/>
  <c r="L22" i="18"/>
  <c r="AD38" i="18"/>
  <c r="AI38" i="18" s="1"/>
  <c r="L45" i="18"/>
  <c r="L28" i="18"/>
  <c r="AD12" i="18"/>
  <c r="AI12" i="18" s="1"/>
  <c r="L14" i="18"/>
  <c r="AD20" i="18"/>
  <c r="AI20" i="18" s="1"/>
  <c r="L27" i="18"/>
  <c r="L37" i="18"/>
  <c r="L50" i="18"/>
  <c r="AD56" i="18"/>
  <c r="AI56" i="18" s="1"/>
  <c r="L63" i="18"/>
  <c r="L49" i="18"/>
  <c r="AD55" i="18"/>
  <c r="AI55" i="18" s="1"/>
  <c r="L62" i="18"/>
  <c r="AI40" i="18"/>
  <c r="AD21" i="18"/>
  <c r="AI21" i="18" s="1"/>
  <c r="L38" i="18"/>
  <c r="AD44" i="18"/>
  <c r="AI44" i="18" s="1"/>
  <c r="L12" i="18"/>
  <c r="AS10" i="18" l="1"/>
  <c r="AQ19" i="18"/>
  <c r="AR19" i="18" s="1"/>
  <c r="AS19" i="18" s="1"/>
  <c r="AQ29" i="18"/>
  <c r="AR29" i="18" s="1"/>
  <c r="AS29" i="18" s="1"/>
  <c r="AQ22" i="18"/>
  <c r="AQ61" i="18"/>
  <c r="AR61" i="18" s="1"/>
  <c r="AQ25" i="18"/>
  <c r="AR25" i="18" s="1"/>
  <c r="AS25" i="18" s="1"/>
  <c r="AQ54" i="18"/>
  <c r="AR54" i="18" s="1"/>
  <c r="AS54" i="18" s="1"/>
  <c r="AQ58" i="18"/>
  <c r="AR58" i="18" s="1"/>
  <c r="AQ43" i="18"/>
  <c r="AR43" i="18" s="1"/>
  <c r="AS43" i="18" s="1"/>
  <c r="AQ40" i="18"/>
  <c r="AR40" i="18" s="1"/>
  <c r="AQ21" i="18"/>
  <c r="AR21" i="18" s="1"/>
  <c r="AS21" i="18" s="1"/>
  <c r="AQ37" i="18"/>
  <c r="AQ17" i="18"/>
  <c r="AR17" i="18" s="1"/>
  <c r="AS17" i="18" s="1"/>
  <c r="AQ14" i="18"/>
  <c r="AR14" i="18" s="1"/>
  <c r="AQ27" i="18"/>
  <c r="AR27" i="18" s="1"/>
  <c r="AS27" i="18" s="1"/>
  <c r="AQ33" i="18"/>
  <c r="AR33" i="18" s="1"/>
  <c r="AQ35" i="18"/>
  <c r="AQ59" i="18"/>
  <c r="AQ44" i="18"/>
  <c r="AR44" i="18" s="1"/>
  <c r="AQ48" i="18"/>
  <c r="AR48" i="18" s="1"/>
  <c r="AS48" i="18" s="1"/>
  <c r="AQ63" i="18"/>
  <c r="AR63" i="18" s="1"/>
  <c r="AS63" i="18" s="1"/>
  <c r="AQ50" i="18"/>
  <c r="AQ32" i="18"/>
  <c r="AR32" i="18" s="1"/>
  <c r="AS32" i="18" s="1"/>
  <c r="AQ26" i="18"/>
  <c r="AQ41" i="18"/>
  <c r="AQ60" i="18"/>
  <c r="AR60" i="18" s="1"/>
  <c r="AS60" i="18" s="1"/>
  <c r="AQ30" i="18"/>
  <c r="AR30" i="18" s="1"/>
  <c r="AQ39" i="18"/>
  <c r="AQ52" i="18"/>
  <c r="AR52" i="18" s="1"/>
  <c r="AS52" i="18" s="1"/>
  <c r="AQ20" i="18"/>
  <c r="AR20" i="18" s="1"/>
  <c r="AS20" i="18" s="1"/>
  <c r="AQ24" i="18"/>
  <c r="AR24" i="18" s="1"/>
  <c r="AS24" i="18" s="1"/>
  <c r="AQ28" i="18"/>
  <c r="AR28" i="18" s="1"/>
  <c r="AS28" i="18" s="1"/>
  <c r="AQ31" i="18"/>
  <c r="AQ64" i="18"/>
  <c r="AR64" i="18" s="1"/>
  <c r="AS64" i="18" s="1"/>
  <c r="AQ56" i="18"/>
  <c r="AQ49" i="18"/>
  <c r="AR49" i="18" s="1"/>
  <c r="AS49" i="18" s="1"/>
  <c r="AQ36" i="18"/>
  <c r="AR36" i="18" s="1"/>
  <c r="AS36" i="18" s="1"/>
  <c r="AQ65" i="18"/>
  <c r="AQ46" i="18"/>
  <c r="AR46" i="18" s="1"/>
  <c r="AQ34" i="18"/>
  <c r="AR34" i="18" s="1"/>
  <c r="AS34" i="18" s="1"/>
  <c r="AQ47" i="18"/>
  <c r="AQ42" i="18"/>
  <c r="AR42" i="18" s="1"/>
  <c r="AQ18" i="18"/>
  <c r="AR18" i="18" s="1"/>
  <c r="AQ11" i="18"/>
  <c r="AQ23" i="18"/>
  <c r="AQ15" i="18"/>
  <c r="AR15" i="18" s="1"/>
  <c r="AS15" i="18" s="1"/>
  <c r="AQ55" i="18"/>
  <c r="AQ62" i="18"/>
  <c r="AR62" i="18" s="1"/>
  <c r="AS62" i="18" s="1"/>
  <c r="AQ12" i="18"/>
  <c r="AR12" i="18" s="1"/>
  <c r="AQ57" i="18"/>
  <c r="AQ51" i="18"/>
  <c r="AQ53" i="18"/>
  <c r="AR53" i="18" s="1"/>
  <c r="AS53" i="18" s="1"/>
  <c r="AQ38" i="18"/>
  <c r="AR38" i="18" s="1"/>
  <c r="AQ45" i="18"/>
  <c r="AS44" i="18" l="1"/>
  <c r="AS33" i="18"/>
  <c r="AS18" i="18"/>
  <c r="AS46" i="18"/>
  <c r="AS14" i="18"/>
  <c r="AS61" i="18"/>
  <c r="AS38" i="18"/>
  <c r="AS58" i="18"/>
  <c r="AS30" i="18"/>
  <c r="AS42" i="18"/>
  <c r="AS40" i="18"/>
  <c r="AS12" i="18"/>
  <c r="AR11" i="18"/>
  <c r="AS11" i="18" l="1"/>
  <c r="O65" i="17"/>
  <c r="P65" i="17" s="1"/>
  <c r="J65" i="17"/>
  <c r="M65" i="17" s="1"/>
  <c r="N65" i="17" s="1"/>
  <c r="Q65" i="17" s="1"/>
  <c r="R65" i="17" s="1"/>
  <c r="S65" i="17" s="1"/>
  <c r="I65" i="17"/>
  <c r="H65" i="17"/>
  <c r="O64" i="17"/>
  <c r="P64" i="17" s="1"/>
  <c r="I64" i="17"/>
  <c r="H64" i="17"/>
  <c r="P63" i="17"/>
  <c r="Q63" i="17" s="1"/>
  <c r="R63" i="17" s="1"/>
  <c r="S63" i="17" s="1"/>
  <c r="O63" i="17"/>
  <c r="I63" i="17"/>
  <c r="H63" i="17"/>
  <c r="O62" i="17"/>
  <c r="P62" i="17" s="1"/>
  <c r="I62" i="17"/>
  <c r="H62" i="17"/>
  <c r="P61" i="17"/>
  <c r="O61" i="17"/>
  <c r="N61" i="17"/>
  <c r="Q61" i="17" s="1"/>
  <c r="R61" i="17" s="1"/>
  <c r="S61" i="17" s="1"/>
  <c r="I61" i="17"/>
  <c r="H61" i="17"/>
  <c r="O60" i="17"/>
  <c r="P60" i="17" s="1"/>
  <c r="J60" i="17"/>
  <c r="M60" i="17" s="1"/>
  <c r="N60" i="17" s="1"/>
  <c r="Q60" i="17" s="1"/>
  <c r="R60" i="17" s="1"/>
  <c r="S60" i="17" s="1"/>
  <c r="I60" i="17"/>
  <c r="H60" i="17"/>
  <c r="O59" i="17"/>
  <c r="P59" i="17" s="1"/>
  <c r="I59" i="17"/>
  <c r="H59" i="17"/>
  <c r="O58" i="17"/>
  <c r="P58" i="17" s="1"/>
  <c r="I58" i="17"/>
  <c r="H58" i="17"/>
  <c r="P57" i="17"/>
  <c r="Q57" i="17" s="1"/>
  <c r="R57" i="17" s="1"/>
  <c r="S57" i="17" s="1"/>
  <c r="O57" i="17"/>
  <c r="I57" i="17"/>
  <c r="H57" i="17"/>
  <c r="P56" i="17"/>
  <c r="O56" i="17"/>
  <c r="I56" i="17"/>
  <c r="H56" i="17"/>
  <c r="P55" i="17"/>
  <c r="O55" i="17"/>
  <c r="J55" i="17"/>
  <c r="M55" i="17" s="1"/>
  <c r="N55" i="17" s="1"/>
  <c r="Q55" i="17" s="1"/>
  <c r="R55" i="17" s="1"/>
  <c r="S55" i="17" s="1"/>
  <c r="I55" i="17"/>
  <c r="H55" i="17"/>
  <c r="O54" i="17"/>
  <c r="P54" i="17" s="1"/>
  <c r="I54" i="17"/>
  <c r="H54" i="17"/>
  <c r="O53" i="17"/>
  <c r="P53" i="17" s="1"/>
  <c r="J53" i="17"/>
  <c r="M53" i="17" s="1"/>
  <c r="N53" i="17" s="1"/>
  <c r="Q53" i="17" s="1"/>
  <c r="R53" i="17" s="1"/>
  <c r="I53" i="17"/>
  <c r="H53" i="17"/>
  <c r="R52" i="17"/>
  <c r="S52" i="17" s="1"/>
  <c r="O52" i="17"/>
  <c r="P52" i="17" s="1"/>
  <c r="I52" i="17"/>
  <c r="H52" i="17"/>
  <c r="P51" i="17"/>
  <c r="O51" i="17"/>
  <c r="I51" i="17"/>
  <c r="H51" i="17"/>
  <c r="O50" i="17"/>
  <c r="P50" i="17" s="1"/>
  <c r="I50" i="17"/>
  <c r="H50" i="17"/>
  <c r="P49" i="17"/>
  <c r="O49" i="17"/>
  <c r="J49" i="17"/>
  <c r="M49" i="17" s="1"/>
  <c r="N49" i="17" s="1"/>
  <c r="Q49" i="17" s="1"/>
  <c r="R49" i="17" s="1"/>
  <c r="S49" i="17" s="1"/>
  <c r="I49" i="17"/>
  <c r="H49" i="17"/>
  <c r="O48" i="17"/>
  <c r="P48" i="17" s="1"/>
  <c r="I48" i="17"/>
  <c r="H48" i="17"/>
  <c r="O47" i="17"/>
  <c r="P47" i="17" s="1"/>
  <c r="J47" i="17"/>
  <c r="M47" i="17" s="1"/>
  <c r="N47" i="17" s="1"/>
  <c r="Q47" i="17" s="1"/>
  <c r="R47" i="17" s="1"/>
  <c r="I47" i="17"/>
  <c r="H47" i="17"/>
  <c r="O46" i="17"/>
  <c r="P46" i="17" s="1"/>
  <c r="I46" i="17"/>
  <c r="H46" i="17"/>
  <c r="P45" i="17"/>
  <c r="O45" i="17"/>
  <c r="I45" i="17"/>
  <c r="H45" i="17"/>
  <c r="O44" i="17"/>
  <c r="P44" i="17" s="1"/>
  <c r="Q44" i="17" s="1"/>
  <c r="R44" i="17" s="1"/>
  <c r="S44" i="17" s="1"/>
  <c r="N44" i="17"/>
  <c r="I44" i="17"/>
  <c r="H44" i="17"/>
  <c r="O43" i="17"/>
  <c r="P43" i="17" s="1"/>
  <c r="J43" i="17"/>
  <c r="M43" i="17" s="1"/>
  <c r="N43" i="17" s="1"/>
  <c r="Q43" i="17" s="1"/>
  <c r="R43" i="17" s="1"/>
  <c r="S43" i="17" s="1"/>
  <c r="I43" i="17"/>
  <c r="H43" i="17"/>
  <c r="O42" i="17"/>
  <c r="P42" i="17" s="1"/>
  <c r="I42" i="17"/>
  <c r="H42" i="17"/>
  <c r="O41" i="17"/>
  <c r="P41" i="17" s="1"/>
  <c r="I41" i="17"/>
  <c r="H41" i="17"/>
  <c r="O40" i="17"/>
  <c r="P40" i="17" s="1"/>
  <c r="I40" i="17"/>
  <c r="H40" i="17"/>
  <c r="P39" i="17"/>
  <c r="O39" i="17"/>
  <c r="I39" i="17"/>
  <c r="H39" i="17"/>
  <c r="O38" i="17"/>
  <c r="P38" i="17" s="1"/>
  <c r="I38" i="17"/>
  <c r="H38" i="17"/>
  <c r="O37" i="17"/>
  <c r="P37" i="17" s="1"/>
  <c r="J37" i="17"/>
  <c r="M37" i="17" s="1"/>
  <c r="N37" i="17" s="1"/>
  <c r="Q37" i="17" s="1"/>
  <c r="R37" i="17" s="1"/>
  <c r="S37" i="17" s="1"/>
  <c r="I37" i="17"/>
  <c r="G37" i="17"/>
  <c r="H37" i="17" s="1"/>
  <c r="P36" i="17"/>
  <c r="O36" i="17"/>
  <c r="I36" i="17"/>
  <c r="H36" i="17"/>
  <c r="G36" i="17"/>
  <c r="P35" i="17"/>
  <c r="Q35" i="17" s="1"/>
  <c r="R35" i="17" s="1"/>
  <c r="S35" i="17" s="1"/>
  <c r="O35" i="17"/>
  <c r="I35" i="17"/>
  <c r="G35" i="17"/>
  <c r="H35" i="17" s="1"/>
  <c r="O34" i="17"/>
  <c r="P34" i="17" s="1"/>
  <c r="Q34" i="17" s="1"/>
  <c r="R34" i="17" s="1"/>
  <c r="S34" i="17" s="1"/>
  <c r="I34" i="17"/>
  <c r="G34" i="17"/>
  <c r="H34" i="17" s="1"/>
  <c r="P33" i="17"/>
  <c r="O33" i="17"/>
  <c r="I33" i="17"/>
  <c r="G33" i="17"/>
  <c r="H33" i="17" s="1"/>
  <c r="P32" i="17"/>
  <c r="O32" i="17"/>
  <c r="I32" i="17"/>
  <c r="G32" i="17"/>
  <c r="H32" i="17" s="1"/>
  <c r="O31" i="17"/>
  <c r="P31" i="17" s="1"/>
  <c r="I31" i="17"/>
  <c r="H31" i="17"/>
  <c r="G31" i="17"/>
  <c r="P30" i="17"/>
  <c r="O30" i="17"/>
  <c r="J30" i="17"/>
  <c r="M30" i="17" s="1"/>
  <c r="I30" i="17"/>
  <c r="G30" i="17"/>
  <c r="H30" i="17" s="1"/>
  <c r="O29" i="17"/>
  <c r="P29" i="17" s="1"/>
  <c r="I29" i="17"/>
  <c r="G29" i="17"/>
  <c r="H29" i="17" s="1"/>
  <c r="Q28" i="17"/>
  <c r="R28" i="17" s="1"/>
  <c r="S28" i="17" s="1"/>
  <c r="P28" i="17"/>
  <c r="O28" i="17"/>
  <c r="I28" i="17"/>
  <c r="G28" i="17"/>
  <c r="H28" i="17" s="1"/>
  <c r="P27" i="17"/>
  <c r="O27" i="17"/>
  <c r="I27" i="17"/>
  <c r="G27" i="17"/>
  <c r="H27" i="17" s="1"/>
  <c r="O26" i="17"/>
  <c r="P26" i="17" s="1"/>
  <c r="Q26" i="17" s="1"/>
  <c r="R26" i="17" s="1"/>
  <c r="S26" i="17" s="1"/>
  <c r="I26" i="17"/>
  <c r="G26" i="17"/>
  <c r="H26" i="17" s="1"/>
  <c r="O25" i="17"/>
  <c r="P25" i="17" s="1"/>
  <c r="I25" i="17"/>
  <c r="G25" i="17"/>
  <c r="H25" i="17" s="1"/>
  <c r="O24" i="17"/>
  <c r="P24" i="17" s="1"/>
  <c r="M24" i="17"/>
  <c r="N24" i="17" s="1"/>
  <c r="Q24" i="17" s="1"/>
  <c r="R24" i="17" s="1"/>
  <c r="S24" i="17" s="1"/>
  <c r="I24" i="17"/>
  <c r="H24" i="17"/>
  <c r="G24" i="17"/>
  <c r="O23" i="17"/>
  <c r="P23" i="17" s="1"/>
  <c r="I23" i="17"/>
  <c r="G23" i="17"/>
  <c r="H23" i="17" s="1"/>
  <c r="O22" i="17"/>
  <c r="P22" i="17" s="1"/>
  <c r="J22" i="17"/>
  <c r="M22" i="17" s="1"/>
  <c r="N22" i="17" s="1"/>
  <c r="Q22" i="17" s="1"/>
  <c r="R22" i="17" s="1"/>
  <c r="S22" i="17" s="1"/>
  <c r="I22" i="17"/>
  <c r="H22" i="17"/>
  <c r="G22" i="17"/>
  <c r="O21" i="17"/>
  <c r="P21" i="17" s="1"/>
  <c r="I21" i="17"/>
  <c r="H21" i="17"/>
  <c r="G21" i="17"/>
  <c r="O20" i="17"/>
  <c r="P20" i="17" s="1"/>
  <c r="J20" i="17"/>
  <c r="M20" i="17" s="1"/>
  <c r="N20" i="17" s="1"/>
  <c r="Q20" i="17" s="1"/>
  <c r="R20" i="17" s="1"/>
  <c r="S20" i="17" s="1"/>
  <c r="I20" i="17"/>
  <c r="H20" i="17"/>
  <c r="G20" i="17"/>
  <c r="O19" i="17"/>
  <c r="P19" i="17" s="1"/>
  <c r="I19" i="17"/>
  <c r="G19" i="17"/>
  <c r="H19" i="17" s="1"/>
  <c r="P18" i="17"/>
  <c r="O18" i="17"/>
  <c r="I18" i="17"/>
  <c r="G18" i="17"/>
  <c r="H18" i="17" s="1"/>
  <c r="O17" i="17"/>
  <c r="P17" i="17" s="1"/>
  <c r="I17" i="17"/>
  <c r="G17" i="17"/>
  <c r="H17" i="17" s="1"/>
  <c r="P16" i="17"/>
  <c r="O16" i="17"/>
  <c r="I16" i="17"/>
  <c r="G16" i="17"/>
  <c r="H16" i="17" s="1"/>
  <c r="O15" i="17"/>
  <c r="P15" i="17" s="1"/>
  <c r="J15" i="17"/>
  <c r="M15" i="17" s="1"/>
  <c r="N15" i="17" s="1"/>
  <c r="Q15" i="17" s="1"/>
  <c r="R15" i="17" s="1"/>
  <c r="S15" i="17" s="1"/>
  <c r="I15" i="17"/>
  <c r="H15" i="17"/>
  <c r="G15" i="17"/>
  <c r="O14" i="17"/>
  <c r="P14" i="17" s="1"/>
  <c r="J14" i="17"/>
  <c r="M14" i="17" s="1"/>
  <c r="I14" i="17"/>
  <c r="G14" i="17"/>
  <c r="H14" i="17" s="1"/>
  <c r="O13" i="17"/>
  <c r="P13" i="17" s="1"/>
  <c r="I13" i="17"/>
  <c r="H13" i="17"/>
  <c r="G13" i="17"/>
  <c r="O12" i="17"/>
  <c r="P12" i="17" s="1"/>
  <c r="I12" i="17"/>
  <c r="H12" i="17"/>
  <c r="G12" i="17"/>
  <c r="O11" i="17"/>
  <c r="P11" i="17" s="1"/>
  <c r="J11" i="17"/>
  <c r="M11" i="17" s="1"/>
  <c r="N11" i="17" s="1"/>
  <c r="Q11" i="17" s="1"/>
  <c r="R11" i="17" s="1"/>
  <c r="I11" i="17"/>
  <c r="G11" i="17"/>
  <c r="H11" i="17" s="1"/>
  <c r="H10" i="17"/>
  <c r="G10" i="17"/>
  <c r="J6" i="17"/>
  <c r="O161" i="16"/>
  <c r="O160" i="16"/>
  <c r="O163" i="16" s="1" a="1"/>
  <c r="O163" i="16" s="1"/>
  <c r="C160" i="16"/>
  <c r="O159" i="16"/>
  <c r="C159" i="16"/>
  <c r="J64" i="17" s="1"/>
  <c r="M64" i="17" s="1"/>
  <c r="N64" i="17" s="1"/>
  <c r="C158" i="16"/>
  <c r="J63" i="17" s="1"/>
  <c r="M63" i="17" s="1"/>
  <c r="N63" i="17" s="1"/>
  <c r="C157" i="16"/>
  <c r="J62" i="17" s="1"/>
  <c r="M62" i="17" s="1"/>
  <c r="N62" i="17" s="1"/>
  <c r="Q62" i="17" s="1"/>
  <c r="R62" i="17" s="1"/>
  <c r="S62" i="17" s="1"/>
  <c r="C156" i="16"/>
  <c r="J61" i="17" s="1"/>
  <c r="M61" i="17" s="1"/>
  <c r="C155" i="16"/>
  <c r="C154" i="16"/>
  <c r="J59" i="17" s="1"/>
  <c r="M59" i="17" s="1"/>
  <c r="N59" i="17" s="1"/>
  <c r="Q59" i="17" s="1"/>
  <c r="R59" i="17" s="1"/>
  <c r="S59" i="17" s="1"/>
  <c r="C153" i="16"/>
  <c r="J58" i="17" s="1"/>
  <c r="M58" i="17" s="1"/>
  <c r="N58" i="17" s="1"/>
  <c r="Q58" i="17" s="1"/>
  <c r="R58" i="17" s="1"/>
  <c r="S58" i="17" s="1"/>
  <c r="C152" i="16"/>
  <c r="J57" i="17" s="1"/>
  <c r="M57" i="17" s="1"/>
  <c r="N57" i="17" s="1"/>
  <c r="C151" i="16"/>
  <c r="J56" i="17" s="1"/>
  <c r="M56" i="17" s="1"/>
  <c r="N56" i="17" s="1"/>
  <c r="Q56" i="17" s="1"/>
  <c r="R56" i="17" s="1"/>
  <c r="S56" i="17" s="1"/>
  <c r="C150" i="16"/>
  <c r="C149" i="16"/>
  <c r="J54" i="17" s="1"/>
  <c r="M54" i="17" s="1"/>
  <c r="N54" i="17" s="1"/>
  <c r="Q54" i="17" s="1"/>
  <c r="R54" i="17" s="1"/>
  <c r="S54" i="17" s="1"/>
  <c r="C148" i="16"/>
  <c r="C147" i="16"/>
  <c r="J52" i="17" s="1"/>
  <c r="M52" i="17" s="1"/>
  <c r="N52" i="17" s="1"/>
  <c r="Q52" i="17" s="1"/>
  <c r="C146" i="16"/>
  <c r="J51" i="17" s="1"/>
  <c r="M51" i="17" s="1"/>
  <c r="N51" i="17" s="1"/>
  <c r="Q51" i="17" s="1"/>
  <c r="R51" i="17" s="1"/>
  <c r="S51" i="17" s="1"/>
  <c r="C145" i="16"/>
  <c r="J50" i="17" s="1"/>
  <c r="M50" i="17" s="1"/>
  <c r="N50" i="17" s="1"/>
  <c r="C144" i="16"/>
  <c r="O143" i="16"/>
  <c r="C143" i="16"/>
  <c r="J48" i="17" s="1"/>
  <c r="M48" i="17" s="1"/>
  <c r="N48" i="17" s="1"/>
  <c r="Q48" i="17" s="1"/>
  <c r="R48" i="17" s="1"/>
  <c r="S48" i="17" s="1"/>
  <c r="O142" i="16"/>
  <c r="O145" i="16" s="1" a="1"/>
  <c r="O145" i="16" s="1"/>
  <c r="F140" i="16" s="1"/>
  <c r="C142" i="16"/>
  <c r="O141" i="16"/>
  <c r="C141" i="16"/>
  <c r="J46" i="17" s="1"/>
  <c r="M46" i="17" s="1"/>
  <c r="N46" i="17" s="1"/>
  <c r="C140" i="16"/>
  <c r="J45" i="17" s="1"/>
  <c r="M45" i="17" s="1"/>
  <c r="N45" i="17" s="1"/>
  <c r="Q45" i="17" s="1"/>
  <c r="R45" i="17" s="1"/>
  <c r="S45" i="17" s="1"/>
  <c r="C139" i="16"/>
  <c r="J44" i="17" s="1"/>
  <c r="M44" i="17" s="1"/>
  <c r="C138" i="16"/>
  <c r="C137" i="16"/>
  <c r="J42" i="17" s="1"/>
  <c r="M42" i="17" s="1"/>
  <c r="N42" i="17" s="1"/>
  <c r="Q42" i="17" s="1"/>
  <c r="R42" i="17" s="1"/>
  <c r="S42" i="17" s="1"/>
  <c r="F136" i="16"/>
  <c r="C136" i="16"/>
  <c r="J41" i="17" s="1"/>
  <c r="M41" i="17" s="1"/>
  <c r="N41" i="17" s="1"/>
  <c r="Q41" i="17" s="1"/>
  <c r="R41" i="17" s="1"/>
  <c r="S41" i="17" s="1"/>
  <c r="C135" i="16"/>
  <c r="J40" i="17" s="1"/>
  <c r="M40" i="17" s="1"/>
  <c r="N40" i="17" s="1"/>
  <c r="C134" i="16"/>
  <c r="J39" i="17" s="1"/>
  <c r="M39" i="17" s="1"/>
  <c r="N39" i="17" s="1"/>
  <c r="Q39" i="17" s="1"/>
  <c r="R39" i="17" s="1"/>
  <c r="S39" i="17" s="1"/>
  <c r="C133" i="16"/>
  <c r="J38" i="17" s="1"/>
  <c r="M38" i="17" s="1"/>
  <c r="N38" i="17" s="1"/>
  <c r="Q38" i="17" s="1"/>
  <c r="R38" i="17" s="1"/>
  <c r="S38" i="17" s="1"/>
  <c r="O120" i="16"/>
  <c r="I113" i="16" s="1"/>
  <c r="O118" i="16"/>
  <c r="C118" i="16"/>
  <c r="O117" i="16"/>
  <c r="O120" i="16" s="1" a="1"/>
  <c r="C117" i="16"/>
  <c r="O116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O103" i="16" a="1"/>
  <c r="O103" i="16" s="1"/>
  <c r="C103" i="16"/>
  <c r="C102" i="16"/>
  <c r="O101" i="16"/>
  <c r="C101" i="16"/>
  <c r="O100" i="16"/>
  <c r="C100" i="16"/>
  <c r="O99" i="16"/>
  <c r="C99" i="16"/>
  <c r="C98" i="16"/>
  <c r="I97" i="16"/>
  <c r="C97" i="16"/>
  <c r="C96" i="16"/>
  <c r="C95" i="16"/>
  <c r="C94" i="16"/>
  <c r="C93" i="16"/>
  <c r="C92" i="16"/>
  <c r="C91" i="16"/>
  <c r="Q81" i="16"/>
  <c r="O76" i="16"/>
  <c r="G76" i="16"/>
  <c r="C76" i="16"/>
  <c r="O75" i="16"/>
  <c r="O78" i="16" s="1" a="1"/>
  <c r="O78" i="16" s="1"/>
  <c r="G75" i="16"/>
  <c r="C75" i="16"/>
  <c r="O74" i="16"/>
  <c r="G74" i="16"/>
  <c r="C74" i="16"/>
  <c r="G73" i="16"/>
  <c r="C73" i="16"/>
  <c r="G72" i="16"/>
  <c r="C72" i="16"/>
  <c r="G71" i="16"/>
  <c r="C71" i="16"/>
  <c r="G70" i="16"/>
  <c r="C70" i="16"/>
  <c r="G69" i="16"/>
  <c r="C69" i="16"/>
  <c r="G68" i="16"/>
  <c r="C68" i="16"/>
  <c r="G67" i="16"/>
  <c r="C67" i="16"/>
  <c r="I66" i="16"/>
  <c r="G66" i="16"/>
  <c r="C66" i="16"/>
  <c r="G65" i="16"/>
  <c r="C65" i="16"/>
  <c r="G64" i="16"/>
  <c r="C64" i="16"/>
  <c r="G63" i="16"/>
  <c r="C63" i="16"/>
  <c r="G62" i="16"/>
  <c r="C62" i="16"/>
  <c r="G61" i="16"/>
  <c r="C61" i="16"/>
  <c r="G60" i="16"/>
  <c r="C60" i="16"/>
  <c r="O59" i="16"/>
  <c r="G59" i="16"/>
  <c r="C59" i="16"/>
  <c r="O58" i="16"/>
  <c r="G58" i="16"/>
  <c r="C58" i="16"/>
  <c r="O57" i="16"/>
  <c r="G57" i="16"/>
  <c r="C57" i="16"/>
  <c r="I56" i="16"/>
  <c r="G56" i="16"/>
  <c r="C56" i="16"/>
  <c r="G55" i="16"/>
  <c r="C55" i="16"/>
  <c r="G54" i="16"/>
  <c r="C54" i="16"/>
  <c r="G53" i="16"/>
  <c r="C53" i="16"/>
  <c r="G52" i="16"/>
  <c r="C52" i="16"/>
  <c r="G51" i="16"/>
  <c r="C51" i="16"/>
  <c r="G50" i="16"/>
  <c r="C50" i="16"/>
  <c r="G49" i="16"/>
  <c r="O34" i="16" a="1"/>
  <c r="O34" i="16" s="1"/>
  <c r="F33" i="16"/>
  <c r="O32" i="16"/>
  <c r="O31" i="16"/>
  <c r="O30" i="16"/>
  <c r="F27" i="16"/>
  <c r="F22" i="16"/>
  <c r="F21" i="16"/>
  <c r="O16" i="16"/>
  <c r="O15" i="16"/>
  <c r="O14" i="16"/>
  <c r="O18" i="16" s="1" a="1"/>
  <c r="O18" i="16" s="1"/>
  <c r="F19" i="16" s="1"/>
  <c r="F9" i="16"/>
  <c r="L148" i="15"/>
  <c r="L150" i="15" s="1" a="1"/>
  <c r="L150" i="15" s="1"/>
  <c r="L147" i="15"/>
  <c r="C147" i="15"/>
  <c r="L146" i="15"/>
  <c r="C146" i="15"/>
  <c r="J36" i="17" s="1"/>
  <c r="M36" i="17" s="1"/>
  <c r="N36" i="17" s="1"/>
  <c r="Q36" i="17" s="1"/>
  <c r="R36" i="17" s="1"/>
  <c r="S36" i="17" s="1"/>
  <c r="C145" i="15"/>
  <c r="J35" i="17" s="1"/>
  <c r="M35" i="17" s="1"/>
  <c r="N35" i="17" s="1"/>
  <c r="C144" i="15"/>
  <c r="J34" i="17" s="1"/>
  <c r="M34" i="17" s="1"/>
  <c r="N34" i="17" s="1"/>
  <c r="C143" i="15"/>
  <c r="J33" i="17" s="1"/>
  <c r="M33" i="17" s="1"/>
  <c r="N33" i="17" s="1"/>
  <c r="Q33" i="17" s="1"/>
  <c r="R33" i="17" s="1"/>
  <c r="C142" i="15"/>
  <c r="J32" i="17" s="1"/>
  <c r="M32" i="17" s="1"/>
  <c r="N32" i="17" s="1"/>
  <c r="Q32" i="17" s="1"/>
  <c r="R32" i="17" s="1"/>
  <c r="S32" i="17" s="1"/>
  <c r="C141" i="15"/>
  <c r="J31" i="17" s="1"/>
  <c r="M31" i="17" s="1"/>
  <c r="N31" i="17" s="1"/>
  <c r="C140" i="15"/>
  <c r="C139" i="15"/>
  <c r="J29" i="17" s="1"/>
  <c r="M29" i="17" s="1"/>
  <c r="N29" i="17" s="1"/>
  <c r="Q29" i="17" s="1"/>
  <c r="R29" i="17" s="1"/>
  <c r="C138" i="15"/>
  <c r="J28" i="17" s="1"/>
  <c r="M28" i="17" s="1"/>
  <c r="N28" i="17" s="1"/>
  <c r="C137" i="15"/>
  <c r="J27" i="17" s="1"/>
  <c r="M27" i="17" s="1"/>
  <c r="N27" i="17" s="1"/>
  <c r="Q27" i="17" s="1"/>
  <c r="R27" i="17" s="1"/>
  <c r="C136" i="15"/>
  <c r="J26" i="17" s="1"/>
  <c r="M26" i="17" s="1"/>
  <c r="N26" i="17" s="1"/>
  <c r="C135" i="15"/>
  <c r="J25" i="17" s="1"/>
  <c r="M25" i="17" s="1"/>
  <c r="N25" i="17" s="1"/>
  <c r="C134" i="15"/>
  <c r="J24" i="17" s="1"/>
  <c r="C133" i="15"/>
  <c r="J23" i="17" s="1"/>
  <c r="M23" i="17" s="1"/>
  <c r="N23" i="17" s="1"/>
  <c r="Q23" i="17" s="1"/>
  <c r="R23" i="17" s="1"/>
  <c r="S23" i="17" s="1"/>
  <c r="C132" i="15"/>
  <c r="C131" i="15"/>
  <c r="J21" i="17" s="1"/>
  <c r="M21" i="17" s="1"/>
  <c r="N21" i="17" s="1"/>
  <c r="Q21" i="17" s="1"/>
  <c r="R21" i="17" s="1"/>
  <c r="S21" i="17" s="1"/>
  <c r="L130" i="15"/>
  <c r="C130" i="15"/>
  <c r="L129" i="15"/>
  <c r="C129" i="15"/>
  <c r="J19" i="17" s="1"/>
  <c r="M19" i="17" s="1"/>
  <c r="N19" i="17" s="1"/>
  <c r="Q19" i="17" s="1"/>
  <c r="R19" i="17" s="1"/>
  <c r="L128" i="15"/>
  <c r="L132" i="15" s="1" a="1"/>
  <c r="L132" i="15" s="1"/>
  <c r="F120" i="15" s="1"/>
  <c r="C128" i="15"/>
  <c r="J18" i="17" s="1"/>
  <c r="M18" i="17" s="1"/>
  <c r="N18" i="17" s="1"/>
  <c r="Q18" i="17" s="1"/>
  <c r="R18" i="17" s="1"/>
  <c r="S18" i="17" s="1"/>
  <c r="C127" i="15"/>
  <c r="J17" i="17" s="1"/>
  <c r="M17" i="17" s="1"/>
  <c r="C126" i="15"/>
  <c r="J16" i="17" s="1"/>
  <c r="M16" i="17" s="1"/>
  <c r="N16" i="17" s="1"/>
  <c r="Q16" i="17" s="1"/>
  <c r="R16" i="17" s="1"/>
  <c r="S16" i="17" s="1"/>
  <c r="C125" i="15"/>
  <c r="C124" i="15"/>
  <c r="C123" i="15"/>
  <c r="J13" i="17" s="1"/>
  <c r="M13" i="17" s="1"/>
  <c r="N13" i="17" s="1"/>
  <c r="C122" i="15"/>
  <c r="J12" i="17" s="1"/>
  <c r="M12" i="17" s="1"/>
  <c r="N12" i="17" s="1"/>
  <c r="Q12" i="17" s="1"/>
  <c r="R12" i="17" s="1"/>
  <c r="S12" i="17" s="1"/>
  <c r="C121" i="15"/>
  <c r="C120" i="15"/>
  <c r="J10" i="17" s="1"/>
  <c r="F110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L93" i="15"/>
  <c r="L95" i="15" s="1" a="1"/>
  <c r="L95" i="15" s="1"/>
  <c r="F93" i="15"/>
  <c r="C93" i="15"/>
  <c r="L92" i="15"/>
  <c r="C92" i="15"/>
  <c r="L91" i="15"/>
  <c r="C91" i="15"/>
  <c r="C90" i="15"/>
  <c r="C89" i="15"/>
  <c r="C88" i="15"/>
  <c r="C87" i="15"/>
  <c r="C86" i="15"/>
  <c r="C85" i="15"/>
  <c r="C84" i="15"/>
  <c r="C83" i="15"/>
  <c r="G72" i="15"/>
  <c r="C72" i="15"/>
  <c r="G71" i="15"/>
  <c r="C71" i="15"/>
  <c r="G70" i="15"/>
  <c r="C70" i="15"/>
  <c r="G69" i="15"/>
  <c r="C69" i="15"/>
  <c r="G68" i="15"/>
  <c r="C68" i="15"/>
  <c r="G67" i="15"/>
  <c r="C67" i="15"/>
  <c r="G66" i="15"/>
  <c r="C66" i="15"/>
  <c r="G65" i="15"/>
  <c r="C65" i="15"/>
  <c r="N64" i="15"/>
  <c r="G64" i="15"/>
  <c r="C64" i="15"/>
  <c r="G63" i="15"/>
  <c r="C63" i="15"/>
  <c r="G62" i="15"/>
  <c r="C62" i="15"/>
  <c r="G61" i="15"/>
  <c r="C61" i="15"/>
  <c r="G60" i="15"/>
  <c r="C60" i="15"/>
  <c r="G59" i="15"/>
  <c r="C59" i="15"/>
  <c r="G58" i="15"/>
  <c r="C58" i="15"/>
  <c r="G57" i="15"/>
  <c r="C57" i="15"/>
  <c r="G56" i="15"/>
  <c r="C56" i="15"/>
  <c r="L55" i="15"/>
  <c r="G55" i="15"/>
  <c r="C55" i="15"/>
  <c r="L54" i="15"/>
  <c r="G54" i="15"/>
  <c r="C54" i="15"/>
  <c r="L53" i="15"/>
  <c r="L57" i="15" s="1" a="1"/>
  <c r="L57" i="15" s="1"/>
  <c r="G53" i="15"/>
  <c r="C53" i="15"/>
  <c r="G52" i="15"/>
  <c r="C52" i="15"/>
  <c r="G51" i="15"/>
  <c r="C51" i="15"/>
  <c r="G50" i="15"/>
  <c r="C50" i="15"/>
  <c r="G49" i="15"/>
  <c r="C49" i="15"/>
  <c r="G48" i="15"/>
  <c r="C48" i="15"/>
  <c r="G47" i="15"/>
  <c r="C47" i="15"/>
  <c r="G46" i="15"/>
  <c r="C46" i="15"/>
  <c r="G45" i="15"/>
  <c r="C45" i="15"/>
  <c r="L18" i="15" a="1"/>
  <c r="L18" i="15" s="1"/>
  <c r="L16" i="15"/>
  <c r="L15" i="15"/>
  <c r="L14" i="15"/>
  <c r="Q25" i="17" l="1"/>
  <c r="R25" i="17" s="1"/>
  <c r="S25" i="17" s="1"/>
  <c r="I120" i="15"/>
  <c r="H25" i="16"/>
  <c r="J66" i="16" s="1"/>
  <c r="H19" i="16"/>
  <c r="H15" i="16"/>
  <c r="H34" i="16"/>
  <c r="H29" i="16"/>
  <c r="H23" i="16"/>
  <c r="H18" i="16"/>
  <c r="H26" i="16"/>
  <c r="H32" i="16"/>
  <c r="H12" i="16"/>
  <c r="H17" i="16"/>
  <c r="H24" i="16"/>
  <c r="H11" i="16"/>
  <c r="H31" i="16"/>
  <c r="H22" i="16"/>
  <c r="H16" i="16"/>
  <c r="H10" i="16"/>
  <c r="H20" i="16"/>
  <c r="H8" i="16"/>
  <c r="H30" i="16"/>
  <c r="H14" i="16"/>
  <c r="H21" i="16"/>
  <c r="H35" i="16"/>
  <c r="H28" i="16"/>
  <c r="H27" i="16"/>
  <c r="H13" i="16"/>
  <c r="H9" i="16"/>
  <c r="H33" i="16"/>
  <c r="J97" i="16"/>
  <c r="I155" i="16"/>
  <c r="J155" i="16" s="1"/>
  <c r="I150" i="16"/>
  <c r="J150" i="16" s="1"/>
  <c r="I139" i="16"/>
  <c r="J139" i="16" s="1"/>
  <c r="I157" i="16"/>
  <c r="J157" i="16" s="1"/>
  <c r="I152" i="16"/>
  <c r="I143" i="16"/>
  <c r="J143" i="16" s="1"/>
  <c r="I141" i="16"/>
  <c r="J141" i="16" s="1"/>
  <c r="I159" i="16"/>
  <c r="J159" i="16" s="1"/>
  <c r="I147" i="16"/>
  <c r="I145" i="16"/>
  <c r="I136" i="16"/>
  <c r="I154" i="16"/>
  <c r="I160" i="16"/>
  <c r="I156" i="16"/>
  <c r="I138" i="16"/>
  <c r="J138" i="16" s="1"/>
  <c r="I133" i="16"/>
  <c r="J133" i="16" s="1"/>
  <c r="I148" i="16"/>
  <c r="I144" i="16"/>
  <c r="J144" i="16" s="1"/>
  <c r="I134" i="16"/>
  <c r="J134" i="16" s="1"/>
  <c r="I137" i="16"/>
  <c r="J137" i="16" s="1"/>
  <c r="I151" i="16"/>
  <c r="I158" i="16"/>
  <c r="I135" i="16"/>
  <c r="I146" i="16"/>
  <c r="I140" i="16"/>
  <c r="J140" i="16" s="1"/>
  <c r="I142" i="16"/>
  <c r="J142" i="16" s="1"/>
  <c r="I153" i="16"/>
  <c r="J153" i="16" s="1"/>
  <c r="I149" i="16"/>
  <c r="J149" i="16" s="1"/>
  <c r="F71" i="15"/>
  <c r="F67" i="15"/>
  <c r="F56" i="15"/>
  <c r="F53" i="15"/>
  <c r="F49" i="15"/>
  <c r="F45" i="15"/>
  <c r="F63" i="15"/>
  <c r="F59" i="15"/>
  <c r="F70" i="15"/>
  <c r="F66" i="15"/>
  <c r="F52" i="15"/>
  <c r="F48" i="15"/>
  <c r="F62" i="15"/>
  <c r="F58" i="15"/>
  <c r="F55" i="15"/>
  <c r="G93" i="15" s="1"/>
  <c r="F54" i="15"/>
  <c r="F61" i="15"/>
  <c r="F57" i="15"/>
  <c r="F47" i="15"/>
  <c r="F64" i="15"/>
  <c r="F51" i="15"/>
  <c r="F68" i="15"/>
  <c r="F46" i="15"/>
  <c r="F72" i="15"/>
  <c r="G110" i="15" s="1"/>
  <c r="F50" i="15"/>
  <c r="F65" i="15"/>
  <c r="F69" i="15"/>
  <c r="F60" i="15"/>
  <c r="F25" i="15"/>
  <c r="F16" i="15"/>
  <c r="F24" i="15"/>
  <c r="F35" i="15"/>
  <c r="F23" i="15"/>
  <c r="F15" i="15"/>
  <c r="F13" i="15"/>
  <c r="F34" i="15"/>
  <c r="F22" i="15"/>
  <c r="F33" i="15"/>
  <c r="F21" i="15"/>
  <c r="F20" i="15"/>
  <c r="F14" i="15"/>
  <c r="F32" i="15"/>
  <c r="F27" i="15"/>
  <c r="F9" i="15"/>
  <c r="F31" i="15"/>
  <c r="F29" i="15"/>
  <c r="F17" i="15"/>
  <c r="F30" i="15"/>
  <c r="F12" i="15"/>
  <c r="F11" i="15"/>
  <c r="F10" i="15"/>
  <c r="F28" i="15"/>
  <c r="F26" i="15"/>
  <c r="F19" i="15"/>
  <c r="F18" i="15"/>
  <c r="J56" i="16"/>
  <c r="F112" i="16"/>
  <c r="F114" i="16"/>
  <c r="F91" i="16"/>
  <c r="F109" i="16"/>
  <c r="F98" i="16"/>
  <c r="G140" i="16" s="1"/>
  <c r="F118" i="16"/>
  <c r="F116" i="16"/>
  <c r="F104" i="16"/>
  <c r="F102" i="16"/>
  <c r="F100" i="16"/>
  <c r="F93" i="16"/>
  <c r="F103" i="16"/>
  <c r="F97" i="16"/>
  <c r="F94" i="16"/>
  <c r="F115" i="16"/>
  <c r="F117" i="16"/>
  <c r="F111" i="16"/>
  <c r="F108" i="16"/>
  <c r="F105" i="16"/>
  <c r="F96" i="16"/>
  <c r="F99" i="16"/>
  <c r="F113" i="16"/>
  <c r="F95" i="16"/>
  <c r="F92" i="16"/>
  <c r="F106" i="16"/>
  <c r="F101" i="16"/>
  <c r="F110" i="16"/>
  <c r="F107" i="16"/>
  <c r="H127" i="15"/>
  <c r="H124" i="15"/>
  <c r="H121" i="15"/>
  <c r="H126" i="15"/>
  <c r="H123" i="15"/>
  <c r="H120" i="15"/>
  <c r="H141" i="15"/>
  <c r="H128" i="15"/>
  <c r="H144" i="15"/>
  <c r="H137" i="15"/>
  <c r="H147" i="15"/>
  <c r="H133" i="15"/>
  <c r="H140" i="15"/>
  <c r="H130" i="15"/>
  <c r="H136" i="15"/>
  <c r="H143" i="15"/>
  <c r="H142" i="15"/>
  <c r="H135" i="15"/>
  <c r="H145" i="15"/>
  <c r="H129" i="15"/>
  <c r="H138" i="15"/>
  <c r="H132" i="15"/>
  <c r="H122" i="15"/>
  <c r="H146" i="15"/>
  <c r="H134" i="15"/>
  <c r="H125" i="15"/>
  <c r="H131" i="15"/>
  <c r="H139" i="15"/>
  <c r="G136" i="16"/>
  <c r="F144" i="15"/>
  <c r="I144" i="15" s="1"/>
  <c r="F141" i="15"/>
  <c r="F138" i="15"/>
  <c r="F135" i="15"/>
  <c r="F146" i="15"/>
  <c r="F143" i="15"/>
  <c r="F140" i="15"/>
  <c r="I140" i="15" s="1"/>
  <c r="F137" i="15"/>
  <c r="I137" i="15" s="1"/>
  <c r="F134" i="15"/>
  <c r="F129" i="15"/>
  <c r="F121" i="15"/>
  <c r="I121" i="15" s="1"/>
  <c r="F108" i="15"/>
  <c r="G108" i="15" s="1"/>
  <c r="F89" i="15"/>
  <c r="G89" i="15" s="1"/>
  <c r="F85" i="15"/>
  <c r="G85" i="15" s="1"/>
  <c r="F136" i="15"/>
  <c r="F128" i="15"/>
  <c r="F103" i="15"/>
  <c r="F99" i="15"/>
  <c r="G99" i="15" s="1"/>
  <c r="F124" i="15"/>
  <c r="I124" i="15" s="1"/>
  <c r="F107" i="15"/>
  <c r="F92" i="15"/>
  <c r="F147" i="15"/>
  <c r="I147" i="15" s="1"/>
  <c r="F133" i="15"/>
  <c r="F95" i="15"/>
  <c r="G95" i="15" s="1"/>
  <c r="F88" i="15"/>
  <c r="G88" i="15" s="1"/>
  <c r="F84" i="15"/>
  <c r="F130" i="15"/>
  <c r="I130" i="15" s="1"/>
  <c r="F127" i="15"/>
  <c r="F102" i="15"/>
  <c r="G102" i="15" s="1"/>
  <c r="F98" i="15"/>
  <c r="F123" i="15"/>
  <c r="F106" i="15"/>
  <c r="G106" i="15" s="1"/>
  <c r="F90" i="15"/>
  <c r="G90" i="15" s="1"/>
  <c r="F131" i="15"/>
  <c r="S11" i="17"/>
  <c r="F122" i="15"/>
  <c r="I122" i="15" s="1"/>
  <c r="F142" i="15"/>
  <c r="I142" i="15" s="1"/>
  <c r="F28" i="16"/>
  <c r="I98" i="16"/>
  <c r="J98" i="16" s="1"/>
  <c r="I103" i="16"/>
  <c r="F133" i="16"/>
  <c r="F91" i="15"/>
  <c r="F96" i="15"/>
  <c r="G96" i="15" s="1"/>
  <c r="F132" i="15"/>
  <c r="F16" i="16"/>
  <c r="F29" i="16"/>
  <c r="I94" i="16"/>
  <c r="J94" i="16" s="1"/>
  <c r="I109" i="16"/>
  <c r="J109" i="16" s="1"/>
  <c r="Q50" i="17"/>
  <c r="R50" i="17" s="1"/>
  <c r="S50" i="17" s="1"/>
  <c r="N14" i="17"/>
  <c r="Q14" i="17" s="1"/>
  <c r="R14" i="17" s="1"/>
  <c r="S14" i="17" s="1"/>
  <c r="N30" i="17"/>
  <c r="Q30" i="17" s="1"/>
  <c r="R30" i="17" s="1"/>
  <c r="S30" i="17" s="1"/>
  <c r="F160" i="16"/>
  <c r="G160" i="16" s="1"/>
  <c r="F153" i="16"/>
  <c r="G153" i="16" s="1"/>
  <c r="F148" i="16"/>
  <c r="G148" i="16" s="1"/>
  <c r="F137" i="16"/>
  <c r="F155" i="16"/>
  <c r="G155" i="16" s="1"/>
  <c r="F150" i="16"/>
  <c r="G150" i="16" s="1"/>
  <c r="F139" i="16"/>
  <c r="F157" i="16"/>
  <c r="F134" i="16"/>
  <c r="F152" i="16"/>
  <c r="F143" i="16"/>
  <c r="G143" i="16" s="1"/>
  <c r="F141" i="16"/>
  <c r="G141" i="16" s="1"/>
  <c r="F142" i="16"/>
  <c r="G142" i="16" s="1"/>
  <c r="F135" i="16"/>
  <c r="G135" i="16" s="1"/>
  <c r="F151" i="16"/>
  <c r="F156" i="16"/>
  <c r="G156" i="16" s="1"/>
  <c r="F138" i="16"/>
  <c r="G138" i="16" s="1"/>
  <c r="F159" i="16"/>
  <c r="G159" i="16" s="1"/>
  <c r="F147" i="16"/>
  <c r="G147" i="16" s="1"/>
  <c r="F144" i="16"/>
  <c r="F154" i="16"/>
  <c r="G154" i="16" s="1"/>
  <c r="F94" i="15"/>
  <c r="I71" i="16"/>
  <c r="J113" i="16" s="1"/>
  <c r="I73" i="16"/>
  <c r="I75" i="16"/>
  <c r="J75" i="16" s="1"/>
  <c r="I68" i="16"/>
  <c r="I59" i="16"/>
  <c r="I57" i="16"/>
  <c r="J57" i="16" s="1"/>
  <c r="I63" i="16"/>
  <c r="J63" i="16" s="1"/>
  <c r="I61" i="16"/>
  <c r="J61" i="16" s="1"/>
  <c r="I52" i="16"/>
  <c r="I60" i="16"/>
  <c r="J60" i="16" s="1"/>
  <c r="I55" i="16"/>
  <c r="I65" i="16"/>
  <c r="I67" i="16"/>
  <c r="I74" i="16"/>
  <c r="J74" i="16" s="1"/>
  <c r="I62" i="16"/>
  <c r="J62" i="16" s="1"/>
  <c r="I49" i="16"/>
  <c r="J49" i="16" s="1"/>
  <c r="I76" i="16"/>
  <c r="I70" i="16"/>
  <c r="J70" i="16" s="1"/>
  <c r="I51" i="16"/>
  <c r="J51" i="16" s="1"/>
  <c r="I54" i="16"/>
  <c r="J54" i="16" s="1"/>
  <c r="F149" i="16"/>
  <c r="F101" i="15"/>
  <c r="G101" i="15" s="1"/>
  <c r="S27" i="17"/>
  <c r="I72" i="16"/>
  <c r="J72" i="16" s="1"/>
  <c r="S53" i="17"/>
  <c r="Q13" i="17"/>
  <c r="R13" i="17" s="1"/>
  <c r="S13" i="17" s="1"/>
  <c r="F109" i="15"/>
  <c r="G109" i="15" s="1"/>
  <c r="S19" i="17"/>
  <c r="I50" i="16"/>
  <c r="J50" i="16" s="1"/>
  <c r="I69" i="16"/>
  <c r="F145" i="16"/>
  <c r="G145" i="16" s="1"/>
  <c r="F158" i="16"/>
  <c r="G158" i="16" s="1"/>
  <c r="F105" i="15"/>
  <c r="F100" i="15"/>
  <c r="G100" i="15" s="1"/>
  <c r="F35" i="16"/>
  <c r="F31" i="16"/>
  <c r="F10" i="16"/>
  <c r="F30" i="16"/>
  <c r="F24" i="16"/>
  <c r="F34" i="16"/>
  <c r="F14" i="16"/>
  <c r="F8" i="16"/>
  <c r="F13" i="16"/>
  <c r="F25" i="16"/>
  <c r="F12" i="16"/>
  <c r="F26" i="16"/>
  <c r="F18" i="16"/>
  <c r="F32" i="16"/>
  <c r="F17" i="16"/>
  <c r="F23" i="16"/>
  <c r="F11" i="16"/>
  <c r="I114" i="16"/>
  <c r="J114" i="16" s="1"/>
  <c r="I91" i="16"/>
  <c r="I118" i="16"/>
  <c r="J118" i="16" s="1"/>
  <c r="I116" i="16"/>
  <c r="J116" i="16" s="1"/>
  <c r="I104" i="16"/>
  <c r="J104" i="16" s="1"/>
  <c r="I102" i="16"/>
  <c r="J102" i="16" s="1"/>
  <c r="I100" i="16"/>
  <c r="I93" i="16"/>
  <c r="I111" i="16"/>
  <c r="I106" i="16"/>
  <c r="I95" i="16"/>
  <c r="J95" i="16" s="1"/>
  <c r="I115" i="16"/>
  <c r="J115" i="16" s="1"/>
  <c r="I112" i="16"/>
  <c r="J112" i="16" s="1"/>
  <c r="I107" i="16"/>
  <c r="I108" i="16"/>
  <c r="J108" i="16" s="1"/>
  <c r="I105" i="16"/>
  <c r="J105" i="16" s="1"/>
  <c r="I110" i="16"/>
  <c r="J110" i="16" s="1"/>
  <c r="I99" i="16"/>
  <c r="I96" i="16"/>
  <c r="I101" i="16"/>
  <c r="I117" i="16"/>
  <c r="I92" i="16"/>
  <c r="J92" i="16" s="1"/>
  <c r="F86" i="15"/>
  <c r="I64" i="16"/>
  <c r="J64" i="16" s="1"/>
  <c r="F97" i="15"/>
  <c r="G97" i="15" s="1"/>
  <c r="S29" i="17"/>
  <c r="F20" i="16"/>
  <c r="F83" i="15"/>
  <c r="G83" i="15" s="1"/>
  <c r="F126" i="15"/>
  <c r="F15" i="16"/>
  <c r="I53" i="16"/>
  <c r="J53" i="16" s="1"/>
  <c r="S33" i="17"/>
  <c r="F87" i="15"/>
  <c r="G87" i="15" s="1"/>
  <c r="F104" i="15"/>
  <c r="G104" i="15" s="1"/>
  <c r="F125" i="15"/>
  <c r="F139" i="15"/>
  <c r="I139" i="15" s="1"/>
  <c r="F145" i="15"/>
  <c r="I58" i="16"/>
  <c r="J58" i="16" s="1"/>
  <c r="F146" i="16"/>
  <c r="G146" i="16" s="1"/>
  <c r="S47" i="17"/>
  <c r="Q46" i="17"/>
  <c r="R46" i="17" s="1"/>
  <c r="S46" i="17" s="1"/>
  <c r="Q64" i="17"/>
  <c r="R64" i="17" s="1"/>
  <c r="S64" i="17" s="1"/>
  <c r="O61" i="16" a="1"/>
  <c r="O61" i="16" s="1"/>
  <c r="Q40" i="17"/>
  <c r="R40" i="17" s="1"/>
  <c r="S40" i="17" s="1"/>
  <c r="N17" i="17"/>
  <c r="Q17" i="17" s="1"/>
  <c r="R17" i="17" s="1"/>
  <c r="S17" i="17" s="1"/>
  <c r="Q31" i="17"/>
  <c r="R31" i="17" s="1"/>
  <c r="S31" i="17" s="1"/>
  <c r="J69" i="16" l="1"/>
  <c r="G137" i="16"/>
  <c r="I133" i="15"/>
  <c r="G101" i="16"/>
  <c r="G94" i="16"/>
  <c r="I145" i="15"/>
  <c r="J107" i="16"/>
  <c r="J91" i="16"/>
  <c r="J76" i="16"/>
  <c r="J59" i="16"/>
  <c r="G151" i="16"/>
  <c r="I131" i="15"/>
  <c r="I129" i="15"/>
  <c r="G97" i="16"/>
  <c r="G112" i="16"/>
  <c r="J148" i="16"/>
  <c r="J152" i="16"/>
  <c r="I132" i="15"/>
  <c r="G107" i="15"/>
  <c r="F69" i="16"/>
  <c r="G111" i="16" s="1"/>
  <c r="F71" i="16"/>
  <c r="F66" i="16"/>
  <c r="F55" i="16"/>
  <c r="F73" i="16"/>
  <c r="F50" i="16"/>
  <c r="F63" i="16"/>
  <c r="G105" i="16" s="1"/>
  <c r="F53" i="16"/>
  <c r="G95" i="16" s="1"/>
  <c r="F60" i="16"/>
  <c r="F57" i="16"/>
  <c r="G99" i="16" s="1"/>
  <c r="F72" i="16"/>
  <c r="G114" i="16" s="1"/>
  <c r="F58" i="16"/>
  <c r="G100" i="16" s="1"/>
  <c r="F68" i="16"/>
  <c r="G110" i="16" s="1"/>
  <c r="F52" i="16"/>
  <c r="F65" i="16"/>
  <c r="F74" i="16"/>
  <c r="F62" i="16"/>
  <c r="G104" i="16" s="1"/>
  <c r="F49" i="16"/>
  <c r="F56" i="16"/>
  <c r="F51" i="16"/>
  <c r="F61" i="16"/>
  <c r="G103" i="16" s="1"/>
  <c r="F54" i="16"/>
  <c r="G96" i="16" s="1"/>
  <c r="F64" i="16"/>
  <c r="G106" i="16" s="1"/>
  <c r="F76" i="16"/>
  <c r="G118" i="16" s="1"/>
  <c r="F75" i="16"/>
  <c r="G117" i="16" s="1"/>
  <c r="F67" i="16"/>
  <c r="F59" i="16"/>
  <c r="F70" i="16"/>
  <c r="G91" i="15"/>
  <c r="G107" i="16"/>
  <c r="I134" i="15"/>
  <c r="G92" i="16"/>
  <c r="J73" i="16"/>
  <c r="I143" i="15"/>
  <c r="J65" i="16"/>
  <c r="G152" i="16"/>
  <c r="J146" i="16"/>
  <c r="J101" i="16"/>
  <c r="J93" i="16"/>
  <c r="J55" i="16"/>
  <c r="G134" i="16"/>
  <c r="J103" i="16"/>
  <c r="I127" i="15"/>
  <c r="I128" i="15"/>
  <c r="I135" i="15"/>
  <c r="G116" i="16"/>
  <c r="J135" i="16"/>
  <c r="J136" i="16"/>
  <c r="G109" i="16"/>
  <c r="G115" i="16"/>
  <c r="G92" i="15"/>
  <c r="I125" i="15"/>
  <c r="G93" i="16"/>
  <c r="G86" i="15"/>
  <c r="I123" i="15"/>
  <c r="J106" i="16"/>
  <c r="J160" i="16"/>
  <c r="J111" i="16"/>
  <c r="G94" i="15"/>
  <c r="G133" i="16"/>
  <c r="G103" i="15"/>
  <c r="J154" i="16"/>
  <c r="J96" i="16"/>
  <c r="J100" i="16"/>
  <c r="G144" i="16"/>
  <c r="G157" i="16"/>
  <c r="I136" i="15"/>
  <c r="I138" i="15"/>
  <c r="G108" i="16"/>
  <c r="J158" i="16"/>
  <c r="J145" i="16"/>
  <c r="G91" i="16"/>
  <c r="J68" i="16"/>
  <c r="G113" i="16"/>
  <c r="J156" i="16"/>
  <c r="J67" i="16"/>
  <c r="J71" i="16"/>
  <c r="G98" i="15"/>
  <c r="G102" i="16"/>
  <c r="J117" i="16"/>
  <c r="I146" i="15"/>
  <c r="I126" i="15"/>
  <c r="J99" i="16"/>
  <c r="G105" i="15"/>
  <c r="G149" i="16"/>
  <c r="J52" i="16"/>
  <c r="G139" i="16"/>
  <c r="G84" i="15"/>
  <c r="I141" i="15"/>
  <c r="G98" i="16"/>
  <c r="J151" i="16"/>
  <c r="J147" i="16"/>
  <c r="AE17" i="6" l="1"/>
  <c r="N11" i="13" l="1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10" i="13"/>
  <c r="P21" i="6" l="1"/>
  <c r="AI19" i="6" l="1"/>
  <c r="AI21" i="6"/>
  <c r="AI22" i="6"/>
  <c r="AI23" i="6"/>
  <c r="AI24" i="6"/>
  <c r="AI25" i="6"/>
  <c r="AI27" i="6"/>
  <c r="AI28" i="6"/>
  <c r="AI29" i="6"/>
  <c r="AI30" i="6"/>
  <c r="AI31" i="6"/>
  <c r="AI33" i="6"/>
  <c r="AI36" i="6"/>
  <c r="AI43" i="6"/>
  <c r="AI44" i="6"/>
  <c r="AI47" i="6"/>
  <c r="AI48" i="6"/>
  <c r="AI51" i="6"/>
  <c r="AI52" i="6"/>
  <c r="AI54" i="6"/>
  <c r="AI55" i="6"/>
  <c r="AI56" i="6"/>
  <c r="AI57" i="6"/>
  <c r="AI58" i="6"/>
  <c r="AI59" i="6"/>
  <c r="AI60" i="6"/>
  <c r="AI61" i="6"/>
  <c r="AI62" i="6"/>
  <c r="AI63" i="6"/>
  <c r="AI64" i="6"/>
  <c r="AI65" i="6"/>
  <c r="AI66" i="6"/>
  <c r="AI67" i="6"/>
  <c r="AI68" i="6"/>
  <c r="AI69" i="6"/>
  <c r="AI70" i="6"/>
  <c r="AI71" i="6"/>
  <c r="AI72" i="6"/>
  <c r="AI73" i="6"/>
  <c r="AI74" i="6"/>
  <c r="AI17" i="6"/>
  <c r="AN74" i="6" l="1"/>
  <c r="AN73" i="6"/>
  <c r="AN72" i="6"/>
  <c r="AN71" i="6"/>
  <c r="AN70" i="6"/>
  <c r="AN69" i="6"/>
  <c r="AN68" i="6"/>
  <c r="AN67" i="6"/>
  <c r="AN66" i="6"/>
  <c r="AN65" i="6"/>
  <c r="AN64" i="6"/>
  <c r="AN63" i="6"/>
  <c r="AN62" i="6"/>
  <c r="AN61" i="6"/>
  <c r="AN60" i="6"/>
  <c r="AN59" i="6"/>
  <c r="AN58" i="6"/>
  <c r="AN57" i="6"/>
  <c r="AN56" i="6"/>
  <c r="AN55" i="6"/>
  <c r="AN54" i="6"/>
  <c r="AN53" i="6"/>
  <c r="AN52" i="6"/>
  <c r="AN51" i="6"/>
  <c r="AN50" i="6"/>
  <c r="AN49" i="6"/>
  <c r="AN48" i="6"/>
  <c r="AN47" i="6"/>
  <c r="AF17" i="6" l="1"/>
  <c r="AQ18" i="6"/>
  <c r="AQ19" i="6"/>
  <c r="AQ20" i="6"/>
  <c r="AQ21" i="6"/>
  <c r="AQ22" i="6"/>
  <c r="AQ23" i="6"/>
  <c r="AQ24" i="6"/>
  <c r="AQ25" i="6"/>
  <c r="AQ26" i="6"/>
  <c r="AQ27" i="6"/>
  <c r="AQ28" i="6"/>
  <c r="AQ29" i="6"/>
  <c r="AQ30" i="6"/>
  <c r="AQ31" i="6"/>
  <c r="AQ32" i="6"/>
  <c r="AQ33" i="6"/>
  <c r="AQ34" i="6"/>
  <c r="AQ35" i="6"/>
  <c r="AQ36" i="6"/>
  <c r="AQ37" i="6"/>
  <c r="AQ38" i="6"/>
  <c r="AQ39" i="6"/>
  <c r="AQ40" i="6"/>
  <c r="AQ41" i="6"/>
  <c r="AQ42" i="6"/>
  <c r="AQ43" i="6"/>
  <c r="AQ44" i="6"/>
  <c r="AQ45" i="6"/>
  <c r="AQ46" i="6"/>
  <c r="AQ47" i="6"/>
  <c r="AQ48" i="6"/>
  <c r="AQ49" i="6"/>
  <c r="AQ50" i="6"/>
  <c r="AQ51" i="6"/>
  <c r="AQ52" i="6"/>
  <c r="AQ53" i="6"/>
  <c r="AQ54" i="6"/>
  <c r="AQ55" i="6"/>
  <c r="AQ56" i="6"/>
  <c r="AQ57" i="6"/>
  <c r="AQ58" i="6"/>
  <c r="AQ59" i="6"/>
  <c r="AQ60" i="6"/>
  <c r="AQ61" i="6"/>
  <c r="AQ62" i="6"/>
  <c r="AQ63" i="6"/>
  <c r="AQ64" i="6"/>
  <c r="AQ65" i="6"/>
  <c r="AQ66" i="6"/>
  <c r="AQ67" i="6"/>
  <c r="AQ68" i="6"/>
  <c r="AQ69" i="6"/>
  <c r="AQ70" i="6"/>
  <c r="AQ71" i="6"/>
  <c r="AQ72" i="6"/>
  <c r="AQ73" i="6"/>
  <c r="AQ74" i="6"/>
  <c r="AQ17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52" i="6"/>
  <c r="S51" i="6"/>
  <c r="S50" i="6"/>
  <c r="S49" i="6"/>
  <c r="S48" i="6"/>
  <c r="S4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N33" i="6"/>
  <c r="AN34" i="6"/>
  <c r="AN35" i="6"/>
  <c r="AN36" i="6"/>
  <c r="AN37" i="6"/>
  <c r="AN38" i="6"/>
  <c r="AN39" i="6"/>
  <c r="AN40" i="6"/>
  <c r="AN41" i="6"/>
  <c r="AN42" i="6"/>
  <c r="AN43" i="6"/>
  <c r="AN44" i="6"/>
  <c r="AN45" i="6"/>
  <c r="AN46" i="6"/>
  <c r="AN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17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18" i="6"/>
  <c r="P19" i="6"/>
  <c r="P20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17" i="6"/>
  <c r="J73" i="6" l="1"/>
  <c r="J74" i="6" s="1"/>
  <c r="J71" i="6"/>
  <c r="J72" i="6" s="1"/>
  <c r="J69" i="6"/>
  <c r="J70" i="6" s="1"/>
  <c r="J67" i="6"/>
  <c r="J68" i="6" s="1"/>
  <c r="J65" i="6"/>
  <c r="J66" i="6" s="1"/>
  <c r="J63" i="6"/>
  <c r="J64" i="6" s="1"/>
  <c r="J61" i="6"/>
  <c r="J62" i="6" s="1"/>
  <c r="J59" i="6"/>
  <c r="J60" i="6" s="1"/>
  <c r="J57" i="6"/>
  <c r="J58" i="6" s="1"/>
  <c r="J55" i="6"/>
  <c r="J56" i="6" s="1"/>
  <c r="J53" i="6"/>
  <c r="J54" i="6" s="1"/>
  <c r="J51" i="6"/>
  <c r="J52" i="6" s="1"/>
  <c r="J49" i="6"/>
  <c r="J50" i="6" s="1"/>
  <c r="J47" i="6"/>
  <c r="J48" i="6" s="1"/>
  <c r="J43" i="6"/>
  <c r="J44" i="6" s="1"/>
  <c r="J41" i="6"/>
  <c r="J42" i="6" s="1"/>
  <c r="J39" i="6"/>
  <c r="J40" i="6" s="1"/>
  <c r="J37" i="6"/>
  <c r="J38" i="6" s="1"/>
  <c r="J35" i="6"/>
  <c r="J36" i="6" s="1"/>
  <c r="J33" i="6"/>
  <c r="J34" i="6" s="1"/>
  <c r="J31" i="6"/>
  <c r="J32" i="6" s="1"/>
  <c r="J29" i="6"/>
  <c r="J30" i="6" s="1"/>
  <c r="J27" i="6"/>
  <c r="J28" i="6" s="1"/>
  <c r="J25" i="6"/>
  <c r="J26" i="6" s="1"/>
  <c r="J23" i="6"/>
  <c r="J24" i="6" s="1"/>
  <c r="J21" i="6"/>
  <c r="J22" i="6" s="1"/>
  <c r="J19" i="6"/>
  <c r="J20" i="6" s="1"/>
  <c r="K39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12" i="4"/>
  <c r="J18" i="6" l="1"/>
  <c r="L18" i="6" l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L17" i="6"/>
  <c r="AE19" i="6"/>
  <c r="AE21" i="6"/>
  <c r="AE22" i="6"/>
  <c r="AE23" i="6"/>
  <c r="AE24" i="6"/>
  <c r="AE25" i="6"/>
  <c r="AE27" i="6"/>
  <c r="AE28" i="6"/>
  <c r="AE29" i="6"/>
  <c r="AE30" i="6"/>
  <c r="AE31" i="6"/>
  <c r="AE33" i="6"/>
  <c r="AE36" i="6"/>
  <c r="AE43" i="6"/>
  <c r="AE44" i="6"/>
  <c r="AE47" i="6"/>
  <c r="AE48" i="6"/>
  <c r="AE51" i="6"/>
  <c r="AE52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F64" i="6" l="1"/>
  <c r="AK64" i="6" s="1"/>
  <c r="AF44" i="6"/>
  <c r="AK44" i="6" s="1"/>
  <c r="AF22" i="6"/>
  <c r="AK22" i="6" s="1"/>
  <c r="AF51" i="6"/>
  <c r="AK51" i="6" s="1"/>
  <c r="AF24" i="6"/>
  <c r="AK24" i="6"/>
  <c r="AF62" i="6"/>
  <c r="AK62" i="6" s="1"/>
  <c r="AF21" i="6"/>
  <c r="AK21" i="6" s="1"/>
  <c r="AF25" i="6"/>
  <c r="AK25" i="6" s="1"/>
  <c r="AF72" i="6"/>
  <c r="AK72" i="6" s="1"/>
  <c r="AF71" i="6"/>
  <c r="AK71" i="6" s="1"/>
  <c r="AF19" i="6"/>
  <c r="AK19" i="6" s="1"/>
  <c r="AF70" i="6"/>
  <c r="AK70" i="6" s="1"/>
  <c r="AF58" i="6"/>
  <c r="AK58" i="6" s="1"/>
  <c r="AF33" i="6"/>
  <c r="AK33" i="6" s="1"/>
  <c r="AF63" i="6"/>
  <c r="AK63" i="6" s="1"/>
  <c r="AF23" i="6"/>
  <c r="AK23" i="6" s="1"/>
  <c r="AF61" i="6"/>
  <c r="AK61" i="6" s="1"/>
  <c r="AF60" i="6"/>
  <c r="AK60" i="6" s="1"/>
  <c r="AF59" i="6"/>
  <c r="AK59" i="6" s="1"/>
  <c r="AF69" i="6"/>
  <c r="AK69" i="6" s="1"/>
  <c r="AF57" i="6"/>
  <c r="AK57" i="6" s="1"/>
  <c r="AF31" i="6"/>
  <c r="AK31" i="6" s="1"/>
  <c r="AF48" i="6"/>
  <c r="AK48" i="6" s="1"/>
  <c r="AF47" i="6"/>
  <c r="AK47" i="6" s="1"/>
  <c r="AF73" i="6"/>
  <c r="AK73" i="6" s="1"/>
  <c r="AF43" i="6"/>
  <c r="AK43" i="6" s="1"/>
  <c r="AF36" i="6"/>
  <c r="AK36" i="6" s="1"/>
  <c r="AF68" i="6"/>
  <c r="AK68" i="6" s="1"/>
  <c r="AF56" i="6"/>
  <c r="AK56" i="6" s="1"/>
  <c r="AF30" i="6"/>
  <c r="AK30" i="6" s="1"/>
  <c r="AF74" i="6"/>
  <c r="AK74" i="6"/>
  <c r="AF29" i="6"/>
  <c r="AK29" i="6" s="1"/>
  <c r="AF67" i="6"/>
  <c r="AK67" i="6" s="1"/>
  <c r="AF55" i="6"/>
  <c r="AK55" i="6" s="1"/>
  <c r="AF66" i="6"/>
  <c r="AK66" i="6" s="1"/>
  <c r="AF54" i="6"/>
  <c r="AK54" i="6" s="1"/>
  <c r="AF28" i="6"/>
  <c r="AK28" i="6" s="1"/>
  <c r="AF65" i="6"/>
  <c r="AK65" i="6" s="1"/>
  <c r="AF52" i="6"/>
  <c r="AK52" i="6" s="1"/>
  <c r="AF27" i="6"/>
  <c r="AK27" i="6" s="1"/>
  <c r="F12" i="2"/>
  <c r="F13" i="2"/>
  <c r="F14" i="2"/>
  <c r="F15" i="2"/>
  <c r="F16" i="2"/>
  <c r="F17" i="2"/>
  <c r="F18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11" i="2"/>
  <c r="AC53" i="6"/>
  <c r="AC50" i="6"/>
  <c r="AC49" i="6"/>
  <c r="AC42" i="6"/>
  <c r="AC41" i="6"/>
  <c r="AC40" i="6"/>
  <c r="AC39" i="6"/>
  <c r="AC38" i="6"/>
  <c r="AC37" i="6"/>
  <c r="AC35" i="6"/>
  <c r="AC34" i="6"/>
  <c r="AC32" i="6"/>
  <c r="AC26" i="6"/>
  <c r="AC20" i="6"/>
  <c r="AC18" i="6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13" i="4"/>
  <c r="G23" i="4"/>
  <c r="T25" i="3"/>
  <c r="U25" i="3" s="1"/>
  <c r="T23" i="3"/>
  <c r="S47" i="2"/>
  <c r="T47" i="2" s="1"/>
  <c r="S45" i="2"/>
  <c r="T45" i="2" s="1"/>
  <c r="S33" i="2"/>
  <c r="T33" i="2" s="1"/>
  <c r="S31" i="2"/>
  <c r="T31" i="2" s="1"/>
  <c r="S27" i="2"/>
  <c r="T27" i="2" s="1"/>
  <c r="S26" i="2"/>
  <c r="T26" i="2" s="1"/>
  <c r="S23" i="2"/>
  <c r="T23" i="2" s="1"/>
  <c r="S22" i="2"/>
  <c r="S44" i="2"/>
  <c r="T44" i="2" s="1"/>
  <c r="S34" i="2"/>
  <c r="T34" i="2" s="1"/>
  <c r="T22" i="2"/>
  <c r="G26" i="2"/>
  <c r="H26" i="2"/>
  <c r="I26" i="2" s="1"/>
  <c r="K26" i="2"/>
  <c r="N26" i="2"/>
  <c r="G27" i="2"/>
  <c r="H27" i="2"/>
  <c r="I27" i="2" s="1"/>
  <c r="N27" i="2"/>
  <c r="U24" i="3"/>
  <c r="U26" i="3"/>
  <c r="U23" i="3"/>
  <c r="S46" i="2"/>
  <c r="T46" i="2" s="1"/>
  <c r="S35" i="2"/>
  <c r="T35" i="2" s="1"/>
  <c r="T14" i="2"/>
  <c r="T15" i="2"/>
  <c r="T16" i="2"/>
  <c r="T17" i="2"/>
  <c r="T18" i="2"/>
  <c r="T21" i="2"/>
  <c r="T24" i="2"/>
  <c r="T25" i="2"/>
  <c r="T28" i="2"/>
  <c r="T29" i="2"/>
  <c r="T30" i="2"/>
  <c r="T32" i="2"/>
  <c r="T36" i="2"/>
  <c r="T37" i="2"/>
  <c r="T38" i="2"/>
  <c r="T39" i="2"/>
  <c r="T40" i="2"/>
  <c r="T41" i="2"/>
  <c r="T42" i="2"/>
  <c r="T43" i="2"/>
  <c r="T48" i="2"/>
  <c r="T12" i="2"/>
  <c r="T13" i="2"/>
  <c r="T11" i="2"/>
  <c r="J11" i="2"/>
  <c r="D23" i="3"/>
  <c r="O26" i="2" l="1"/>
  <c r="P26" i="2" s="1"/>
  <c r="J26" i="2"/>
  <c r="AE41" i="6"/>
  <c r="AF41" i="6" s="1"/>
  <c r="AK41" i="6" s="1"/>
  <c r="AI41" i="6"/>
  <c r="AE50" i="6"/>
  <c r="AI50" i="6"/>
  <c r="AE53" i="6"/>
  <c r="AF53" i="6" s="1"/>
  <c r="AK53" i="6" s="1"/>
  <c r="AI53" i="6"/>
  <c r="AE40" i="6"/>
  <c r="AF40" i="6" s="1"/>
  <c r="AK40" i="6" s="1"/>
  <c r="AI40" i="6"/>
  <c r="AE42" i="6"/>
  <c r="AF42" i="6" s="1"/>
  <c r="AK42" i="6" s="1"/>
  <c r="AI42" i="6"/>
  <c r="AE34" i="6"/>
  <c r="AF34" i="6" s="1"/>
  <c r="AK34" i="6" s="1"/>
  <c r="AI34" i="6"/>
  <c r="AE18" i="6"/>
  <c r="AI18" i="6"/>
  <c r="AE35" i="6"/>
  <c r="AF35" i="6" s="1"/>
  <c r="AK35" i="6" s="1"/>
  <c r="AI35" i="6"/>
  <c r="AE20" i="6"/>
  <c r="AI20" i="6"/>
  <c r="AE26" i="6"/>
  <c r="AF26" i="6" s="1"/>
  <c r="AK26" i="6" s="1"/>
  <c r="AI26" i="6"/>
  <c r="AE32" i="6"/>
  <c r="AF32" i="6" s="1"/>
  <c r="AK32" i="6" s="1"/>
  <c r="AI32" i="6"/>
  <c r="AE37" i="6"/>
  <c r="AF37" i="6" s="1"/>
  <c r="AK37" i="6" s="1"/>
  <c r="AI37" i="6"/>
  <c r="AE39" i="6"/>
  <c r="AF39" i="6" s="1"/>
  <c r="AI39" i="6"/>
  <c r="AE49" i="6"/>
  <c r="AF49" i="6" s="1"/>
  <c r="AK49" i="6" s="1"/>
  <c r="AI49" i="6"/>
  <c r="AE38" i="6"/>
  <c r="AF38" i="6" s="1"/>
  <c r="AI38" i="6"/>
  <c r="AF50" i="6"/>
  <c r="AK50" i="6" s="1"/>
  <c r="AF18" i="6"/>
  <c r="AK18" i="6" s="1"/>
  <c r="AF20" i="6"/>
  <c r="AK20" i="6" s="1"/>
  <c r="F23" i="3"/>
  <c r="K27" i="2"/>
  <c r="O27" i="2" s="1"/>
  <c r="U27" i="2" s="1"/>
  <c r="J27" i="2"/>
  <c r="U26" i="2"/>
  <c r="Q26" i="2"/>
  <c r="R26" i="2" s="1"/>
  <c r="G14" i="4"/>
  <c r="G15" i="4"/>
  <c r="G16" i="4"/>
  <c r="G17" i="4"/>
  <c r="G18" i="4"/>
  <c r="G19" i="4"/>
  <c r="G20" i="4"/>
  <c r="G21" i="4"/>
  <c r="G22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12" i="4"/>
  <c r="O23" i="3"/>
  <c r="N11" i="2"/>
  <c r="O24" i="3"/>
  <c r="O25" i="3"/>
  <c r="O26" i="3"/>
  <c r="R19" i="2"/>
  <c r="R20" i="2"/>
  <c r="N25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12" i="2"/>
  <c r="N13" i="2"/>
  <c r="N14" i="2"/>
  <c r="N15" i="2"/>
  <c r="N16" i="2"/>
  <c r="N17" i="2"/>
  <c r="N18" i="2"/>
  <c r="N19" i="2"/>
  <c r="O19" i="2" s="1"/>
  <c r="N20" i="2"/>
  <c r="O20" i="2" s="1"/>
  <c r="N21" i="2"/>
  <c r="N22" i="2"/>
  <c r="N23" i="2"/>
  <c r="N24" i="2"/>
  <c r="F9" i="3"/>
  <c r="K9" i="3" s="1"/>
  <c r="L9" i="3" s="1"/>
  <c r="F10" i="3"/>
  <c r="K10" i="3" s="1"/>
  <c r="L10" i="3" s="1"/>
  <c r="F11" i="3"/>
  <c r="K11" i="3" s="1"/>
  <c r="L11" i="3" s="1"/>
  <c r="F8" i="3"/>
  <c r="I8" i="3" s="1"/>
  <c r="AK39" i="6" l="1"/>
  <c r="AK38" i="6"/>
  <c r="P27" i="2"/>
  <c r="Q27" i="2"/>
  <c r="R27" i="2" s="1"/>
  <c r="I11" i="3"/>
  <c r="I10" i="3"/>
  <c r="I9" i="3"/>
  <c r="K8" i="3"/>
  <c r="L8" i="3" s="1"/>
  <c r="K11" i="2"/>
  <c r="D24" i="3"/>
  <c r="F24" i="3" s="1"/>
  <c r="D25" i="3"/>
  <c r="F25" i="3" s="1"/>
  <c r="D26" i="3"/>
  <c r="F26" i="3" s="1"/>
  <c r="C24" i="3"/>
  <c r="C25" i="3"/>
  <c r="C26" i="3"/>
  <c r="C23" i="3"/>
  <c r="G23" i="3" s="1"/>
  <c r="P23" i="3" s="1"/>
  <c r="Q23" i="3" l="1"/>
  <c r="V23" i="3"/>
  <c r="R11" i="2"/>
  <c r="U11" i="2"/>
  <c r="K23" i="3"/>
  <c r="R23" i="3" l="1"/>
  <c r="S23" i="3" s="1"/>
  <c r="I25" i="3"/>
  <c r="K25" i="3" s="1"/>
  <c r="I26" i="3"/>
  <c r="G25" i="3"/>
  <c r="H25" i="3" s="1"/>
  <c r="J25" i="3" s="1"/>
  <c r="P25" i="3" s="1"/>
  <c r="V25" i="3" s="1"/>
  <c r="G26" i="3"/>
  <c r="H26" i="3" s="1"/>
  <c r="J26" i="3" s="1"/>
  <c r="P26" i="3" s="1"/>
  <c r="V26" i="3" s="1"/>
  <c r="I24" i="3"/>
  <c r="G24" i="3"/>
  <c r="H24" i="3" s="1"/>
  <c r="J24" i="3" s="1"/>
  <c r="P24" i="3" s="1"/>
  <c r="V24" i="3" s="1"/>
  <c r="G12" i="2"/>
  <c r="G13" i="2"/>
  <c r="G14" i="2"/>
  <c r="G15" i="2"/>
  <c r="G16" i="2"/>
  <c r="G17" i="2"/>
  <c r="G18" i="2"/>
  <c r="G21" i="2"/>
  <c r="G22" i="2"/>
  <c r="G23" i="2"/>
  <c r="G24" i="2"/>
  <c r="G25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Q24" i="3" l="1"/>
  <c r="Q26" i="3"/>
  <c r="Q25" i="3"/>
  <c r="K26" i="3"/>
  <c r="L26" i="3"/>
  <c r="L25" i="3"/>
  <c r="L24" i="3"/>
  <c r="K24" i="3"/>
  <c r="H13" i="2"/>
  <c r="H14" i="2"/>
  <c r="H15" i="2"/>
  <c r="H16" i="2"/>
  <c r="H17" i="2"/>
  <c r="H18" i="2"/>
  <c r="I18" i="2" s="1"/>
  <c r="H21" i="2"/>
  <c r="I21" i="2" s="1"/>
  <c r="H22" i="2"/>
  <c r="H23" i="2"/>
  <c r="H24" i="2"/>
  <c r="H25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R25" i="3" l="1"/>
  <c r="S25" i="3" s="1"/>
  <c r="R26" i="3"/>
  <c r="S26" i="3" s="1"/>
  <c r="R24" i="3"/>
  <c r="S24" i="3" s="1"/>
  <c r="K40" i="2"/>
  <c r="J40" i="2"/>
  <c r="K13" i="2"/>
  <c r="J13" i="2"/>
  <c r="K38" i="2"/>
  <c r="O38" i="2" s="1"/>
  <c r="U38" i="2" s="1"/>
  <c r="J38" i="2"/>
  <c r="K37" i="2"/>
  <c r="O37" i="2" s="1"/>
  <c r="U37" i="2" s="1"/>
  <c r="J37" i="2"/>
  <c r="K24" i="2"/>
  <c r="O24" i="2" s="1"/>
  <c r="J24" i="2"/>
  <c r="K33" i="2"/>
  <c r="O33" i="2" s="1"/>
  <c r="U33" i="2" s="1"/>
  <c r="J33" i="2"/>
  <c r="K39" i="2"/>
  <c r="O39" i="2" s="1"/>
  <c r="J39" i="2"/>
  <c r="K48" i="2"/>
  <c r="O48" i="2" s="1"/>
  <c r="U48" i="2" s="1"/>
  <c r="J48" i="2"/>
  <c r="K14" i="2"/>
  <c r="O14" i="2" s="1"/>
  <c r="U14" i="2" s="1"/>
  <c r="J14" i="2"/>
  <c r="K12" i="2"/>
  <c r="J12" i="2"/>
  <c r="K36" i="2"/>
  <c r="O36" i="2" s="1"/>
  <c r="U36" i="2" s="1"/>
  <c r="J36" i="2"/>
  <c r="K35" i="2"/>
  <c r="O35" i="2" s="1"/>
  <c r="U35" i="2" s="1"/>
  <c r="J35" i="2"/>
  <c r="K46" i="2"/>
  <c r="O46" i="2" s="1"/>
  <c r="U46" i="2" s="1"/>
  <c r="J46" i="2"/>
  <c r="K34" i="2"/>
  <c r="J34" i="2"/>
  <c r="K45" i="2"/>
  <c r="J45" i="2"/>
  <c r="K44" i="2"/>
  <c r="O44" i="2" s="1"/>
  <c r="J44" i="2"/>
  <c r="K32" i="2"/>
  <c r="O32" i="2" s="1"/>
  <c r="U32" i="2" s="1"/>
  <c r="J32" i="2"/>
  <c r="K18" i="2"/>
  <c r="O18" i="2" s="1"/>
  <c r="U18" i="2" s="1"/>
  <c r="J18" i="2"/>
  <c r="K43" i="2"/>
  <c r="J43" i="2"/>
  <c r="K31" i="2"/>
  <c r="O31" i="2" s="1"/>
  <c r="U31" i="2" s="1"/>
  <c r="J31" i="2"/>
  <c r="K17" i="2"/>
  <c r="O17" i="2" s="1"/>
  <c r="U17" i="2" s="1"/>
  <c r="J17" i="2"/>
  <c r="K42" i="2"/>
  <c r="J42" i="2"/>
  <c r="K30" i="2"/>
  <c r="O30" i="2" s="1"/>
  <c r="U30" i="2" s="1"/>
  <c r="J30" i="2"/>
  <c r="K16" i="2"/>
  <c r="O16" i="2" s="1"/>
  <c r="U16" i="2" s="1"/>
  <c r="J16" i="2"/>
  <c r="K28" i="2"/>
  <c r="O28" i="2" s="1"/>
  <c r="U28" i="2" s="1"/>
  <c r="J28" i="2"/>
  <c r="K25" i="2"/>
  <c r="J25" i="2"/>
  <c r="K47" i="2"/>
  <c r="O47" i="2" s="1"/>
  <c r="U47" i="2" s="1"/>
  <c r="J47" i="2"/>
  <c r="K23" i="2"/>
  <c r="J23" i="2"/>
  <c r="K22" i="2"/>
  <c r="J22" i="2"/>
  <c r="K21" i="2"/>
  <c r="J21" i="2"/>
  <c r="K41" i="2"/>
  <c r="O41" i="2" s="1"/>
  <c r="U41" i="2" s="1"/>
  <c r="J41" i="2"/>
  <c r="K29" i="2"/>
  <c r="O29" i="2" s="1"/>
  <c r="J29" i="2"/>
  <c r="K15" i="2"/>
  <c r="O15" i="2" s="1"/>
  <c r="U15" i="2" s="1"/>
  <c r="J15" i="2"/>
  <c r="I22" i="2"/>
  <c r="I33" i="2"/>
  <c r="I36" i="2"/>
  <c r="I34" i="2"/>
  <c r="I32" i="2"/>
  <c r="I43" i="2"/>
  <c r="I31" i="2"/>
  <c r="I17" i="2"/>
  <c r="I25" i="2"/>
  <c r="I24" i="2"/>
  <c r="I23" i="2"/>
  <c r="I46" i="2"/>
  <c r="I45" i="2"/>
  <c r="I44" i="2"/>
  <c r="I42" i="2"/>
  <c r="I30" i="2"/>
  <c r="I16" i="2"/>
  <c r="I35" i="2"/>
  <c r="I15" i="2"/>
  <c r="I48" i="2"/>
  <c r="I47" i="2"/>
  <c r="I41" i="2"/>
  <c r="I29" i="2"/>
  <c r="I40" i="2"/>
  <c r="I28" i="2"/>
  <c r="I14" i="2"/>
  <c r="I37" i="2"/>
  <c r="I39" i="2"/>
  <c r="I13" i="2"/>
  <c r="I38" i="2"/>
  <c r="P24" i="2" l="1"/>
  <c r="Q24" i="2" s="1"/>
  <c r="R24" i="2" s="1"/>
  <c r="U24" i="2"/>
  <c r="O42" i="2"/>
  <c r="U42" i="2" s="1"/>
  <c r="O23" i="2"/>
  <c r="U23" i="2" s="1"/>
  <c r="O22" i="2"/>
  <c r="U22" i="2" s="1"/>
  <c r="P29" i="2"/>
  <c r="Q29" i="2" s="1"/>
  <c r="R29" i="2" s="1"/>
  <c r="U29" i="2"/>
  <c r="O34" i="2"/>
  <c r="O13" i="2"/>
  <c r="U13" i="2" s="1"/>
  <c r="O12" i="2"/>
  <c r="U12" i="2" s="1"/>
  <c r="O45" i="2"/>
  <c r="U45" i="2" s="1"/>
  <c r="O25" i="2"/>
  <c r="U25" i="2" s="1"/>
  <c r="O43" i="2"/>
  <c r="U43" i="2" s="1"/>
  <c r="P39" i="2"/>
  <c r="Q39" i="2" s="1"/>
  <c r="R39" i="2" s="1"/>
  <c r="U39" i="2"/>
  <c r="O40" i="2"/>
  <c r="U40" i="2" s="1"/>
  <c r="O21" i="2"/>
  <c r="U21" i="2" s="1"/>
  <c r="P44" i="2"/>
  <c r="Q44" i="2" s="1"/>
  <c r="R44" i="2" s="1"/>
  <c r="U44" i="2"/>
  <c r="P16" i="2"/>
  <c r="Q16" i="2" s="1"/>
  <c r="R16" i="2" s="1"/>
  <c r="P33" i="2"/>
  <c r="Q33" i="2" s="1"/>
  <c r="R33" i="2" s="1"/>
  <c r="P15" i="2"/>
  <c r="Q15" i="2" s="1"/>
  <c r="R15" i="2" s="1"/>
  <c r="P37" i="2"/>
  <c r="Q37" i="2" s="1"/>
  <c r="R37" i="2" s="1"/>
  <c r="P14" i="2"/>
  <c r="Q14" i="2" s="1"/>
  <c r="R14" i="2" s="1"/>
  <c r="P38" i="2"/>
  <c r="Q38" i="2" s="1"/>
  <c r="R38" i="2" s="1"/>
  <c r="P47" i="2"/>
  <c r="Q47" i="2" s="1"/>
  <c r="R47" i="2" s="1"/>
  <c r="P30" i="2"/>
  <c r="Q30" i="2" s="1"/>
  <c r="R30" i="2" s="1"/>
  <c r="P35" i="2"/>
  <c r="Q35" i="2" s="1"/>
  <c r="R35" i="2" s="1"/>
  <c r="P36" i="2"/>
  <c r="Q36" i="2" s="1"/>
  <c r="R36" i="2" s="1"/>
  <c r="P48" i="2"/>
  <c r="Q48" i="2" s="1"/>
  <c r="R48" i="2" s="1"/>
  <c r="P18" i="2"/>
  <c r="Q18" i="2" s="1"/>
  <c r="R18" i="2" s="1"/>
  <c r="P32" i="2"/>
  <c r="Q32" i="2" s="1"/>
  <c r="R32" i="2" s="1"/>
  <c r="P41" i="2"/>
  <c r="Q41" i="2" s="1"/>
  <c r="R41" i="2" s="1"/>
  <c r="P17" i="2"/>
  <c r="Q17" i="2" s="1"/>
  <c r="R17" i="2" s="1"/>
  <c r="P31" i="2"/>
  <c r="Q31" i="2" s="1"/>
  <c r="R31" i="2" s="1"/>
  <c r="P28" i="2"/>
  <c r="Q28" i="2" s="1"/>
  <c r="R28" i="2" s="1"/>
  <c r="P46" i="2"/>
  <c r="Q46" i="2" s="1"/>
  <c r="R46" i="2" s="1"/>
  <c r="P13" i="2" l="1"/>
  <c r="Q13" i="2" s="1"/>
  <c r="R13" i="2" s="1"/>
  <c r="P12" i="2"/>
  <c r="Q12" i="2" s="1"/>
  <c r="R12" i="2" s="1"/>
  <c r="P42" i="2"/>
  <c r="Q42" i="2" s="1"/>
  <c r="R42" i="2" s="1"/>
  <c r="P45" i="2"/>
  <c r="Q45" i="2" s="1"/>
  <c r="R45" i="2" s="1"/>
  <c r="P21" i="2"/>
  <c r="Q21" i="2" s="1"/>
  <c r="R21" i="2" s="1"/>
  <c r="P40" i="2"/>
  <c r="Q40" i="2" s="1"/>
  <c r="R40" i="2" s="1"/>
  <c r="P25" i="2"/>
  <c r="Q25" i="2" s="1"/>
  <c r="R25" i="2" s="1"/>
  <c r="P43" i="2"/>
  <c r="Q43" i="2" s="1"/>
  <c r="R43" i="2" s="1"/>
  <c r="P22" i="2"/>
  <c r="Q22" i="2" s="1"/>
  <c r="R22" i="2" s="1"/>
  <c r="P23" i="2"/>
  <c r="Q23" i="2" s="1"/>
  <c r="R23" i="2" s="1"/>
  <c r="P34" i="2"/>
  <c r="Q34" i="2" s="1"/>
  <c r="R34" i="2" s="1"/>
  <c r="U3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Reviewer</author>
  </authors>
  <commentList>
    <comment ref="D6" authorId="0" shapeId="0" xr:uid="{2F91C34C-824E-4124-BBF1-EBED5821AB8A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This data derived from DNA extraction data table</t>
        </r>
      </text>
    </comment>
    <comment ref="M6" authorId="0" shapeId="0" xr:uid="{438C0350-5DA5-4C8A-884B-8541A80A2CC5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It derived from the DNA quantification data</t>
        </r>
      </text>
    </comment>
    <comment ref="N6" authorId="0" shapeId="0" xr:uid="{2C1D18EA-4365-460A-BCE4-9115553B776B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This data derived from DNA extraction data table</t>
        </r>
      </text>
    </comment>
    <comment ref="R6" authorId="0" shapeId="0" xr:uid="{70E2ADC7-0E87-4C0D-AEBE-277BACBA62D9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UC-Davis data
</t>
        </r>
      </text>
    </comment>
    <comment ref="T6" authorId="0" shapeId="0" xr:uid="{E046C217-515C-4B21-97DB-D83B2C0DC40A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UC-Davis data</t>
        </r>
      </text>
    </comment>
    <comment ref="X6" authorId="0" shapeId="0" xr:uid="{BACE9D5A-1036-45B6-A2B8-B7A545216194}">
      <text>
        <r>
          <rPr>
            <b/>
            <sz val="9"/>
            <color indexed="81"/>
            <rFont val="Tahoma"/>
            <family val="2"/>
          </rPr>
          <t>Reviewer:</t>
        </r>
        <r>
          <rPr>
            <sz val="9"/>
            <color indexed="81"/>
            <rFont val="Tahoma"/>
            <family val="2"/>
          </rPr>
          <t xml:space="preserve">
mb = microbial biomass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<sst xmlns="http://schemas.openxmlformats.org/spreadsheetml/2006/main" count="3809" uniqueCount="531">
  <si>
    <t>Sampling</t>
  </si>
  <si>
    <t>Sampling date</t>
  </si>
  <si>
    <t>Sample ID</t>
  </si>
  <si>
    <t>Subsite</t>
  </si>
  <si>
    <t>AP1_0-20</t>
  </si>
  <si>
    <t>AP1_20-40</t>
  </si>
  <si>
    <t>AP1_50-69</t>
  </si>
  <si>
    <t>AP1_80-100</t>
  </si>
  <si>
    <t>AP1_100-120</t>
  </si>
  <si>
    <t>AP2_0-20</t>
  </si>
  <si>
    <t>AP2_20-40</t>
  </si>
  <si>
    <t>AP2_50-69</t>
  </si>
  <si>
    <t>AP2_80-100</t>
  </si>
  <si>
    <t>AP2_100-120</t>
  </si>
  <si>
    <t>AP3_0-20</t>
  </si>
  <si>
    <t>AP3_20-40</t>
  </si>
  <si>
    <t>AP3_50-69</t>
  </si>
  <si>
    <t>AP3_80-100</t>
  </si>
  <si>
    <t>AP4_0-20</t>
  </si>
  <si>
    <t>AP4_20-40</t>
  </si>
  <si>
    <t>AP4_50-70</t>
  </si>
  <si>
    <t>AP4_80-99</t>
  </si>
  <si>
    <t>AP4_99-120</t>
  </si>
  <si>
    <t>AP3_100-119</t>
  </si>
  <si>
    <t>Palsa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</si>
  <si>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</si>
  <si>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</si>
  <si>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</si>
  <si>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</si>
  <si>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</si>
  <si>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</si>
  <si>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</si>
  <si>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</si>
  <si>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</si>
  <si>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</si>
  <si>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</si>
  <si>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</si>
  <si>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</si>
  <si>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</si>
  <si>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</si>
  <si>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</si>
  <si>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</si>
  <si>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</si>
  <si>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</si>
  <si>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</si>
  <si>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AT1_0-40</t>
  </si>
  <si>
    <t>AT1_63-83</t>
  </si>
  <si>
    <t>AT1_83-103</t>
  </si>
  <si>
    <t>AT1_143-163</t>
  </si>
  <si>
    <t>AT1_163-183</t>
  </si>
  <si>
    <t>AT2_0-40</t>
  </si>
  <si>
    <t>AT2_43-63</t>
  </si>
  <si>
    <t>AT2_63-83</t>
  </si>
  <si>
    <t>AT2_123-143</t>
  </si>
  <si>
    <t>AT2_143-163</t>
  </si>
  <si>
    <t>AT3_0-40</t>
  </si>
  <si>
    <t>AT3_60-80</t>
  </si>
  <si>
    <t>AT3_80-100</t>
  </si>
  <si>
    <t>AT3_140-160</t>
  </si>
  <si>
    <t>AT3_160-180</t>
  </si>
  <si>
    <t>AT5_0-40</t>
  </si>
  <si>
    <t>AT5_50-70</t>
  </si>
  <si>
    <t>AT5_70-90</t>
  </si>
  <si>
    <t>AT5_130-150</t>
  </si>
  <si>
    <t>AT5_150-170</t>
  </si>
  <si>
    <t>Thermokarst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</si>
  <si>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</si>
  <si>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</si>
  <si>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</si>
  <si>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</si>
  <si>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</si>
  <si>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</si>
  <si>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</si>
  <si>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</si>
  <si>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</si>
  <si>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</si>
  <si>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</si>
  <si>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</si>
  <si>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</si>
  <si>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</si>
  <si>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</si>
  <si>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</si>
  <si>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</si>
  <si>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</si>
  <si>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</si>
  <si>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</si>
  <si>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Water content</t>
  </si>
  <si>
    <t>Measure 5-10 g sample, dry at 105 °C</t>
  </si>
  <si>
    <t>Start of drying: 7.11., 14:30h</t>
  </si>
  <si>
    <t>Working ID</t>
  </si>
  <si>
    <t>Weight bowl empty [g]</t>
  </si>
  <si>
    <t>Fresh weight + bowl [g]</t>
  </si>
  <si>
    <t>Dry weight + bowl [g]</t>
  </si>
  <si>
    <t>Absolute mass water [g]</t>
  </si>
  <si>
    <t>gravimetric water content [g/g]</t>
  </si>
  <si>
    <t>Water holding capacity</t>
  </si>
  <si>
    <t>Put in 5°C on 7.11., 14:30h</t>
  </si>
  <si>
    <t>Nr. glass</t>
  </si>
  <si>
    <t>Glass empty [g]</t>
  </si>
  <si>
    <t>Weight sample (no glass + filter) [g]</t>
  </si>
  <si>
    <t>Weight sample wet + glass + filter [g]</t>
  </si>
  <si>
    <t>Weight sample wet (no glass, filter) [g]</t>
  </si>
  <si>
    <t>Dry weight [g]</t>
  </si>
  <si>
    <t>WHC [g/g]</t>
  </si>
  <si>
    <t>water content [%]</t>
  </si>
  <si>
    <t>End of drying: 8.11., 11:00h</t>
  </si>
  <si>
    <t>Weight sample after draining + glass + filter [g]</t>
  </si>
  <si>
    <t>Weight sample after draining (no glass, filter) [g]</t>
  </si>
  <si>
    <t>Samples P1, P2, P11, P12 see table 2_water holding capacity</t>
  </si>
  <si>
    <t>Put in 105 °C after determination of water holding capacity on 8.11., 11:25h</t>
  </si>
  <si>
    <t>Taken out on 8.11., 11:15h</t>
  </si>
  <si>
    <t>Glass empty + filter wet [g]</t>
  </si>
  <si>
    <t>Glass empty + filter dry [g]</t>
  </si>
  <si>
    <t>Total dry weight [g]</t>
  </si>
  <si>
    <t>Taken out 11.11.24; 8:00h</t>
  </si>
  <si>
    <t>Drying of samples for analyses</t>
  </si>
  <si>
    <t>Total weight sample [g]</t>
  </si>
  <si>
    <t>Weighing of total samples into aluminum bowls and drying</t>
  </si>
  <si>
    <t>Total weight sample + bowl [g]</t>
  </si>
  <si>
    <t>Weight bowl [g]</t>
  </si>
  <si>
    <t>Weight of sample at 150% water content [g]</t>
  </si>
  <si>
    <t>Water content at 150% [g]</t>
  </si>
  <si>
    <t>Weight of sample + bowl at 150% water content [g]</t>
  </si>
  <si>
    <t>Weight of sample + bowl after drying [g]</t>
  </si>
  <si>
    <t>Pre-incubation</t>
  </si>
  <si>
    <t>Weighing 10-15 g of samples into 100ml shot-glasses</t>
  </si>
  <si>
    <t>Incubating at 15 °C</t>
  </si>
  <si>
    <t>Incubation ID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</si>
  <si>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</si>
  <si>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</si>
  <si>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</si>
  <si>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</si>
  <si>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</si>
  <si>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</si>
  <si>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</si>
  <si>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</si>
  <si>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</si>
  <si>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</si>
  <si>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</si>
  <si>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</si>
  <si>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</si>
  <si>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</si>
  <si>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</si>
  <si>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</si>
  <si>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</si>
  <si>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</si>
  <si>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</si>
  <si>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</si>
  <si>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</si>
  <si>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</si>
  <si>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</si>
  <si>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</si>
  <si>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</si>
  <si>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</si>
  <si>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</si>
  <si>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</si>
  <si>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</si>
  <si>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</si>
  <si>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</si>
  <si>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</si>
  <si>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</si>
  <si>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</si>
  <si>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</si>
  <si>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</si>
  <si>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</si>
  <si>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</si>
  <si>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</si>
  <si>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</si>
  <si>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</si>
  <si>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</si>
  <si>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</si>
  <si>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</si>
  <si>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</si>
  <si>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</si>
  <si>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</si>
  <si>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</si>
  <si>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</si>
  <si>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</si>
  <si>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</si>
  <si>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</si>
  <si>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</si>
  <si>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</si>
  <si>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</si>
  <si>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</si>
  <si>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O2 conditions</t>
  </si>
  <si>
    <t>aerobic</t>
  </si>
  <si>
    <t>anaerobic</t>
  </si>
  <si>
    <t>Weight glas (without lid, septum) [g]</t>
  </si>
  <si>
    <t>Weight sample [g]</t>
  </si>
  <si>
    <t>Weight sample + glas [g]</t>
  </si>
  <si>
    <t>water content at max. WHC [%]</t>
  </si>
  <si>
    <t>Absolute mass water at max. WHC [g]</t>
  </si>
  <si>
    <t>Weight of sample after drying [g]</t>
  </si>
  <si>
    <t>Water content [g/g]</t>
  </si>
  <si>
    <t>A56 x</t>
  </si>
  <si>
    <t>A29 x</t>
  </si>
  <si>
    <t>A30 x</t>
  </si>
  <si>
    <t>A31 x</t>
  </si>
  <si>
    <t>A32 x</t>
  </si>
  <si>
    <t>A33 x</t>
  </si>
  <si>
    <t>A34 x</t>
  </si>
  <si>
    <t>A35 x</t>
  </si>
  <si>
    <t>A36 x</t>
  </si>
  <si>
    <t>A37 x</t>
  </si>
  <si>
    <t>A38 x</t>
  </si>
  <si>
    <t>A39 x</t>
  </si>
  <si>
    <t>A40 x</t>
  </si>
  <si>
    <t>A41 x</t>
  </si>
  <si>
    <t>A42 x</t>
  </si>
  <si>
    <t>A43 x</t>
  </si>
  <si>
    <t>A44 x</t>
  </si>
  <si>
    <t>A45 x</t>
  </si>
  <si>
    <t>A46 x</t>
  </si>
  <si>
    <t>A47 x</t>
  </si>
  <si>
    <t>A48 x</t>
  </si>
  <si>
    <t>A49 x</t>
  </si>
  <si>
    <t>A50 x</t>
  </si>
  <si>
    <t>A51 x</t>
  </si>
  <si>
    <t>A52 x</t>
  </si>
  <si>
    <t>A53 x</t>
  </si>
  <si>
    <t>A54 x</t>
  </si>
  <si>
    <t>A55 x</t>
  </si>
  <si>
    <t>DNA-Extraction anaerobic</t>
  </si>
  <si>
    <t>DNA ID</t>
  </si>
  <si>
    <t>18O Label</t>
  </si>
  <si>
    <t>Yes</t>
  </si>
  <si>
    <t xml:space="preserve">No </t>
  </si>
  <si>
    <t>Weight [g]</t>
  </si>
  <si>
    <t>Dry weight [%]</t>
  </si>
  <si>
    <t>Water [g]</t>
  </si>
  <si>
    <t>DNA-Extraction aerobic</t>
  </si>
  <si>
    <t>A1 x</t>
  </si>
  <si>
    <t>A2 x</t>
  </si>
  <si>
    <t>A3 x</t>
  </si>
  <si>
    <t>A4 x</t>
  </si>
  <si>
    <t>A5 x</t>
  </si>
  <si>
    <t>A6 x</t>
  </si>
  <si>
    <t>A7 x</t>
  </si>
  <si>
    <t>A8 x</t>
  </si>
  <si>
    <t>A9 x</t>
  </si>
  <si>
    <t>A10 x</t>
  </si>
  <si>
    <t>A11 x</t>
  </si>
  <si>
    <t>A12 x</t>
  </si>
  <si>
    <t>A13 x</t>
  </si>
  <si>
    <t>A14 x</t>
  </si>
  <si>
    <t>A15 x</t>
  </si>
  <si>
    <t>A16 x</t>
  </si>
  <si>
    <t>A17 x</t>
  </si>
  <si>
    <t>A18 x</t>
  </si>
  <si>
    <t>A19 x</t>
  </si>
  <si>
    <t>A20 x</t>
  </si>
  <si>
    <t>A21 x</t>
  </si>
  <si>
    <t>A22 x</t>
  </si>
  <si>
    <t>A23 x</t>
  </si>
  <si>
    <t>A24 x</t>
  </si>
  <si>
    <t>A25 x</t>
  </si>
  <si>
    <t>A26 x</t>
  </si>
  <si>
    <t>A27 x</t>
  </si>
  <si>
    <t>A28 x</t>
  </si>
  <si>
    <t>Start anaerobic samples 19.11., 14h</t>
  </si>
  <si>
    <t>Start aerobic samples: 18.11., 17h/ 19.11., 12.30h (P1, P2, P11, P12, P14, P15, P18, P19, P25, P39)</t>
  </si>
  <si>
    <t>DNA ID 2</t>
  </si>
  <si>
    <t>End aerobic samples: 27.11., 7:30</t>
  </si>
  <si>
    <t>Standards [ppm CO2]</t>
  </si>
  <si>
    <t>time</t>
  </si>
  <si>
    <t>t0</t>
  </si>
  <si>
    <t>Area CO2</t>
  </si>
  <si>
    <t xml:space="preserve">CO2 [ppm] </t>
  </si>
  <si>
    <t>CO2</t>
  </si>
  <si>
    <t>Area Mittel</t>
  </si>
  <si>
    <t>Area1</t>
  </si>
  <si>
    <t>Area2</t>
  </si>
  <si>
    <t>Area3</t>
  </si>
  <si>
    <t>Area4</t>
  </si>
  <si>
    <t>Area5</t>
  </si>
  <si>
    <t>Faktor_Area_CO2</t>
  </si>
  <si>
    <t>T_raum [°C]</t>
  </si>
  <si>
    <t>P_raum [hPa]</t>
  </si>
  <si>
    <t>rel_Hum [%]</t>
  </si>
  <si>
    <t>t1</t>
  </si>
  <si>
    <t>t2</t>
  </si>
  <si>
    <t>CO2 measurements aerobic samples</t>
  </si>
  <si>
    <t>27.11.2024-29.11.2024</t>
  </si>
  <si>
    <t>Sample</t>
  </si>
  <si>
    <t>Time</t>
  </si>
  <si>
    <t>Area mean</t>
  </si>
  <si>
    <t>End</t>
  </si>
  <si>
    <t>Beginning</t>
  </si>
  <si>
    <t>Flushing</t>
  </si>
  <si>
    <t>Flushing of aerobic samples with synthetic air for ca. 15 min, creating overpressure for ca. 3 min</t>
  </si>
  <si>
    <t>Aerobic samples: 27.11.24</t>
  </si>
  <si>
    <t>Overpressure</t>
  </si>
  <si>
    <t>Weight sample + glas after pre-incubation [g]</t>
  </si>
  <si>
    <t>Weight loss [g]</t>
  </si>
  <si>
    <t>water content before pre-incubation [g/g]</t>
  </si>
  <si>
    <t>water content after pre-incubation [g/g]</t>
  </si>
  <si>
    <t>Attention: water content of aerobic samples lower after pre-incubation (see table 3)</t>
  </si>
  <si>
    <t>Differenz vorherige Messung</t>
  </si>
  <si>
    <t>t3</t>
  </si>
  <si>
    <t>Area CH4</t>
  </si>
  <si>
    <t>CH4 [ppm]</t>
  </si>
  <si>
    <t>Standards [ppm CH4]</t>
  </si>
  <si>
    <t>Faktor_Area_CH4</t>
  </si>
  <si>
    <t>CH4</t>
  </si>
  <si>
    <t>29.11.2024 weighing (samples 1-36)</t>
  </si>
  <si>
    <t>Flask volume [ml]</t>
  </si>
  <si>
    <t>Incubation time [h]</t>
  </si>
  <si>
    <t>R2 slope</t>
  </si>
  <si>
    <t>CO2 produced [ppm]</t>
  </si>
  <si>
    <t>CO2 slope [ppm/h]</t>
  </si>
  <si>
    <t>Headspace volume [m-3]</t>
  </si>
  <si>
    <t>VCO2 [m-3]</t>
  </si>
  <si>
    <t>Overpressure [hPa]</t>
  </si>
  <si>
    <t>Total pressure [Pa]</t>
  </si>
  <si>
    <t>Δ Ngas [mol]</t>
  </si>
  <si>
    <t>Gas constant R [J/K/mol]</t>
  </si>
  <si>
    <t>T_raum [K]</t>
  </si>
  <si>
    <t>Δ CO2-C [µg]</t>
  </si>
  <si>
    <t>Respiration</t>
  </si>
  <si>
    <r>
      <t>Respiration [</t>
    </r>
    <r>
      <rPr>
        <b/>
        <sz val="11"/>
        <color theme="1"/>
        <rFont val="Times New Roman"/>
        <family val="1"/>
      </rPr>
      <t>µ</t>
    </r>
    <r>
      <rPr>
        <b/>
        <sz val="11"/>
        <color theme="1"/>
        <rFont val="Calibri"/>
        <family val="2"/>
        <scheme val="minor"/>
      </rPr>
      <t>g CO2-C/h/g]</t>
    </r>
  </si>
  <si>
    <t>2.12.2024 weighing samples (37-56)</t>
  </si>
  <si>
    <t>2.12.2024, 10:56 start incubation 18O first batch (samples 1-28)</t>
  </si>
  <si>
    <t>2.12.2024, 11:03 start incubation 16O first batch (samples 1-28)</t>
  </si>
  <si>
    <t>Control</t>
  </si>
  <si>
    <t>Microbial biomass</t>
  </si>
  <si>
    <t>Start of fumigation aerobic samples: 2.12.2024, 9:45h, fumigated for 5min</t>
  </si>
  <si>
    <t>Nr. on glass</t>
  </si>
  <si>
    <t>26A</t>
  </si>
  <si>
    <t>21A</t>
  </si>
  <si>
    <t>19A</t>
  </si>
  <si>
    <t>M1</t>
  </si>
  <si>
    <t>26B</t>
  </si>
  <si>
    <t>M2</t>
  </si>
  <si>
    <t>M3</t>
  </si>
  <si>
    <t>M4</t>
  </si>
  <si>
    <t>Weighing of ca. 5g soil</t>
  </si>
  <si>
    <t>3.12.2024, 7:59 start incubation 18O second batch (sampes 29-56)</t>
  </si>
  <si>
    <t>18O/16O addition [ul]</t>
  </si>
  <si>
    <t>19.11.2024 Weighing of ca. 350 mg sample into small glasses, flushing with N2 and pre-incubating at 15 °C</t>
  </si>
  <si>
    <t>Fumigation</t>
  </si>
  <si>
    <t>Non-fumigation</t>
  </si>
  <si>
    <t>K2SO4 addition [ml]</t>
  </si>
  <si>
    <t>03.12.2024 aerobic samples</t>
  </si>
  <si>
    <t>Weight E-tube empty [g]</t>
  </si>
  <si>
    <t>Weight E-tube after extraction [g]</t>
  </si>
  <si>
    <t>Weight extracted DNA [g]</t>
  </si>
  <si>
    <t>CFE ID</t>
  </si>
  <si>
    <t>Af1</t>
  </si>
  <si>
    <t>Af2</t>
  </si>
  <si>
    <t>Af3</t>
  </si>
  <si>
    <t>Af4</t>
  </si>
  <si>
    <t>Af5</t>
  </si>
  <si>
    <t>Af6</t>
  </si>
  <si>
    <t>Af7</t>
  </si>
  <si>
    <t>Af8</t>
  </si>
  <si>
    <t>Af9</t>
  </si>
  <si>
    <t>Af10</t>
  </si>
  <si>
    <t>Af11</t>
  </si>
  <si>
    <t>Af12</t>
  </si>
  <si>
    <t>Af13</t>
  </si>
  <si>
    <t>Af14</t>
  </si>
  <si>
    <t>Af15</t>
  </si>
  <si>
    <t>Af16</t>
  </si>
  <si>
    <t>Af17</t>
  </si>
  <si>
    <t>Af18</t>
  </si>
  <si>
    <t>Af19</t>
  </si>
  <si>
    <t>Af20</t>
  </si>
  <si>
    <t>Af21</t>
  </si>
  <si>
    <t>Af22</t>
  </si>
  <si>
    <t>Af23</t>
  </si>
  <si>
    <t>Af24</t>
  </si>
  <si>
    <t>Af25</t>
  </si>
  <si>
    <t>Af26</t>
  </si>
  <si>
    <t>Af27</t>
  </si>
  <si>
    <t>Af28</t>
  </si>
  <si>
    <t>Af29</t>
  </si>
  <si>
    <t>Af30</t>
  </si>
  <si>
    <t>Af31</t>
  </si>
  <si>
    <t>Af32</t>
  </si>
  <si>
    <t>Af33</t>
  </si>
  <si>
    <t>Af34</t>
  </si>
  <si>
    <t>Af35</t>
  </si>
  <si>
    <t>Af36</t>
  </si>
  <si>
    <t>Af37</t>
  </si>
  <si>
    <t>Af38</t>
  </si>
  <si>
    <t>Af39</t>
  </si>
  <si>
    <t>Af40</t>
  </si>
  <si>
    <t>Af41</t>
  </si>
  <si>
    <t>Af42</t>
  </si>
  <si>
    <t>Af43</t>
  </si>
  <si>
    <t>Af44</t>
  </si>
  <si>
    <t>Af45</t>
  </si>
  <si>
    <t>Af46</t>
  </si>
  <si>
    <t>Af47</t>
  </si>
  <si>
    <t>Af48</t>
  </si>
  <si>
    <t>Af49</t>
  </si>
  <si>
    <t>Af50</t>
  </si>
  <si>
    <t>Af51</t>
  </si>
  <si>
    <t>Af52</t>
  </si>
  <si>
    <t>Af53</t>
  </si>
  <si>
    <t>Af54</t>
  </si>
  <si>
    <t>Af55</t>
  </si>
  <si>
    <t>Af56</t>
  </si>
  <si>
    <t>End of fumigation aerobic samples: 4.12.2024, 9:00h</t>
  </si>
  <si>
    <t>exactly 700ul of supernatant could not be taken from all the samples --&gt; in the next steps also not exactly 700ul of sample</t>
  </si>
  <si>
    <t>For samples 17, 18, 23, 24 and additional amount of 300 ul lysing buffer had to be added to get enough supernatant</t>
  </si>
  <si>
    <t>Notes:</t>
  </si>
  <si>
    <t>4.12.2024, 11:01 end of incubation first batch (samples 1-28)</t>
  </si>
  <si>
    <t>Extracted DNA samples were still quite dark, especiall 11, 12, 13, 14, 31, 32, 33, 34</t>
  </si>
  <si>
    <t>Purification</t>
  </si>
  <si>
    <t>Weight E-tube after purification [g]</t>
  </si>
  <si>
    <t>Weight DNA [g]</t>
  </si>
  <si>
    <t>5.12.2024, purification first batch</t>
  </si>
  <si>
    <t>3.12.2024, 15:55 start incubation 18O third batch (samples 57-84)</t>
  </si>
  <si>
    <t>3.12.2024, 15:42 start incubation 16O third batch (samples 57-84)</t>
  </si>
  <si>
    <t>Weight pre-incubation [g]</t>
  </si>
  <si>
    <t>Extracted DNA samples were still quite dark, especially 69, 70, 71, 72</t>
  </si>
  <si>
    <t>Flushing of anaerobic samples with N2 for 20 min</t>
  </si>
  <si>
    <t>Anaerobic samples: 09.12.24</t>
  </si>
  <si>
    <t>10.12.2024, 16:07 start incubation 18O fourth batch (samples 85-112)</t>
  </si>
  <si>
    <t>10.12.2024, 15:47 start incubation 16O fourth batch (samples 85-112)</t>
  </si>
  <si>
    <t>11.12.2024, 8:01 start incubation 16O sample 35</t>
  </si>
  <si>
    <t>11.12.2024, 8:00 start incubation 18O sample 36</t>
  </si>
  <si>
    <t>Dry weight after incubation (in correct tubes for extraction, including added water) [g]</t>
  </si>
  <si>
    <t>End anaerobic samples 9.12., 12:55h</t>
  </si>
  <si>
    <t>9.12.2024 - 16.12.2024</t>
  </si>
  <si>
    <t>CO2 measurements anaerobic samples</t>
  </si>
  <si>
    <t>M5</t>
  </si>
  <si>
    <t>M6</t>
  </si>
  <si>
    <t>M7</t>
  </si>
  <si>
    <t>M8</t>
  </si>
  <si>
    <t>M9</t>
  </si>
  <si>
    <t>Start of fumigation anaerobic samples: 17.12.2024, 10:24h, fumigated for 5min</t>
  </si>
  <si>
    <t>A57</t>
  </si>
  <si>
    <t>BLANK</t>
  </si>
  <si>
    <t>18.12.2024 anaerobic samples</t>
  </si>
  <si>
    <t>CFE ID 2</t>
  </si>
  <si>
    <t>End of fumigation anaerobic samples: 19.12.2024, 7:40</t>
  </si>
  <si>
    <t>Elemental analyses</t>
  </si>
  <si>
    <t>Drying of samples (22.11.24-25.11.24)</t>
  </si>
  <si>
    <t>Grinding of samples (25.11.24-26.11.24)</t>
  </si>
  <si>
    <t>Weight sample for CHNS [mg]</t>
  </si>
  <si>
    <t>Weighing ca. 15 mg of sample for  CHNS analyses (14.01.25-15.01.25)</t>
  </si>
  <si>
    <t>Measuring CHNS with the velo VL cube on 16.01.2025</t>
  </si>
  <si>
    <t>N [mg/g]</t>
  </si>
  <si>
    <t>C [mg/g]</t>
  </si>
  <si>
    <t>H [mg/g]</t>
  </si>
  <si>
    <t>S [mg/g]</t>
  </si>
  <si>
    <t>Weight after incubation total (in correct tubes for extraction, including added water) [g]</t>
  </si>
  <si>
    <t>O [mg/g]</t>
  </si>
  <si>
    <t>Weighing ca. 2 mg of sample for O analyses</t>
  </si>
  <si>
    <t>Measuring O with the rapid OXY cube on 21.01.25</t>
  </si>
  <si>
    <t>5.12.2024, 8:01 end of incubation second batch (samples 29-56)</t>
  </si>
  <si>
    <t>3.12.2024, 8:08 start of incubation 16O second batch (samples 29-56)</t>
  </si>
  <si>
    <t>6.12.2024, 8:09 end of incubation third batch (samples 57-84)</t>
  </si>
  <si>
    <t>13.12.2024, 8:04 end of incubation fourth batch (samples 85-112)</t>
  </si>
  <si>
    <t>13.12.2024, 8:04 end incubation sample 35, 36</t>
  </si>
  <si>
    <t>For purification of 4th batch, 80ul of DNA were added (instead of 70), 240ul of Nal solution were used (instead of 210) and the samples were vortexed instead of shaken</t>
  </si>
  <si>
    <t>NPOC [mg/l]</t>
  </si>
  <si>
    <t>K2SO4 addition [L]</t>
  </si>
  <si>
    <t>mg C g soil-1</t>
  </si>
  <si>
    <t>MBC [mg g soil-1]</t>
  </si>
  <si>
    <t>Incubation temperature [K]</t>
  </si>
  <si>
    <t>1:20 diluted</t>
  </si>
  <si>
    <t>Water in sample (L)</t>
  </si>
  <si>
    <t>Total water (L)</t>
  </si>
  <si>
    <t>Water in sample [L]</t>
  </si>
  <si>
    <t>Total water [L]</t>
  </si>
  <si>
    <t>&lt;</t>
  </si>
  <si>
    <t>Weight sample for O [mg]</t>
  </si>
  <si>
    <t>MBC [mg g soil-1] mit Minimalwert</t>
  </si>
  <si>
    <t>Weight [mg]</t>
  </si>
  <si>
    <t>Weight after incubation only soil (no 18O/16O addition) [g]</t>
  </si>
  <si>
    <t>Weight after incubation only soil (no 18O/16O addition) [mg]</t>
  </si>
  <si>
    <t>CUE</t>
  </si>
  <si>
    <t>Natural Abundance 18O [at%]</t>
  </si>
  <si>
    <t>Oxygen content of DNA [weight%]</t>
  </si>
  <si>
    <t>Type</t>
  </si>
  <si>
    <t>Treatment</t>
  </si>
  <si>
    <t>Soil fresh weight [mg]</t>
  </si>
  <si>
    <t>SM%</t>
  </si>
  <si>
    <t>Soil dry weight [mg]</t>
  </si>
  <si>
    <t>Sample H2O [ul]</t>
  </si>
  <si>
    <t>Added H2O [ul]</t>
  </si>
  <si>
    <t>Total H2O [ul]</t>
  </si>
  <si>
    <t>Added 18O [at%]</t>
  </si>
  <si>
    <t>Enrichment [at%]</t>
  </si>
  <si>
    <t>DNA [ng/ul]</t>
  </si>
  <si>
    <t>DNA vol [ul]</t>
  </si>
  <si>
    <t>DNA [ug]</t>
  </si>
  <si>
    <t>DNA [ug/g DM]</t>
  </si>
  <si>
    <t>DNA vol used for isotope analyses (ul)</t>
  </si>
  <si>
    <t>DNA O from isotope analyses (ug)</t>
  </si>
  <si>
    <t>DNA O [ug]</t>
  </si>
  <si>
    <t>DNA 18O [at%]</t>
  </si>
  <si>
    <t>DNA 18O [at% excess]</t>
  </si>
  <si>
    <t>Total DNA prod [ug]</t>
  </si>
  <si>
    <t>DNA prod [ng/g/h]</t>
  </si>
  <si>
    <t>Cmb [ug/g DW]</t>
  </si>
  <si>
    <t>fDNA</t>
  </si>
  <si>
    <t>Total C prod [ng]</t>
  </si>
  <si>
    <t>Time [h]</t>
  </si>
  <si>
    <t>C resp [ng/g/h]</t>
  </si>
  <si>
    <t>C prod [ng/g/h]</t>
  </si>
  <si>
    <t>Mass specific          growth rate [1/d]</t>
  </si>
  <si>
    <t>Turnover time [d]</t>
  </si>
  <si>
    <t>C uptake</t>
  </si>
  <si>
    <t>qCO2</t>
  </si>
  <si>
    <t>qgrowth</t>
  </si>
  <si>
    <t>quptake</t>
  </si>
  <si>
    <t>labelled</t>
  </si>
  <si>
    <t>non-labelled</t>
  </si>
  <si>
    <t>MBC [ug g soil-1]</t>
  </si>
  <si>
    <t>CH4 measurements 2nd incubation</t>
  </si>
  <si>
    <t>Time flushing</t>
  </si>
  <si>
    <t xml:space="preserve">CH4 [ppm] </t>
  </si>
  <si>
    <t>Extracted DNA [g]</t>
  </si>
  <si>
    <t>Purified DNA [g]</t>
  </si>
  <si>
    <t>sample number</t>
  </si>
  <si>
    <t>Reading</t>
  </si>
  <si>
    <t>DNA concentration (ng/ul)</t>
  </si>
  <si>
    <t>DNA concentration after purification (ng/ul)</t>
  </si>
  <si>
    <t>DNA lost [%]</t>
  </si>
  <si>
    <t>Blank</t>
  </si>
  <si>
    <t>C/N molar</t>
  </si>
  <si>
    <t>H/C molar</t>
  </si>
  <si>
    <t>O/C molar</t>
  </si>
  <si>
    <t>C/N mass</t>
  </si>
  <si>
    <t>C/H mass</t>
  </si>
  <si>
    <t>H/C mass</t>
  </si>
  <si>
    <t>O/C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</si>
</sst>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"/>
    <numFmt numFmtId="167" formatCode="0.000000"/>
    <numFmt numFmtId="168" formatCode="0.00000"/>
    <numFmt numFmtId="169" formatCode="0.0000000"/>
  </numFmts>
  <fonts count="1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6" fillId="0" borderId="0" applyFont="0" applyFill="0" applyBorder="0" applyAlignment="0" applyProtection="0"/>
    <xf numFmtId="0" fontId="12" fillId="0" borderId="0"/>
    <xf numFmtId="0" fontId="6" fillId="0" borderId="0"/>
  </cellStyleXfs>
  <cellXfs count="232">
    <xf numFmtId="0" fontId="0" fillId="0" borderId="0" xfId="0"/>
    <xf numFmtId="0" fontId="2" fillId="0" borderId="0" xfId="0" applyFont="1"/>
    <xf numFmtId="14" fontId="0" fillId="0" borderId="0" xfId="0" applyNumberFormat="1"/>
    <xf numFmtId="0" fontId="4" fillId="0" borderId="0" xfId="0" applyFont="1"/>
    <xf numFmtId="0" fontId="1" fillId="0" borderId="0" xfId="0" applyFont="1"/>
    <xf numFmtId="14" fontId="0" fillId="0" borderId="0" xfId="0" applyNumberFormat="1" applyAlignment="1">
      <alignment horizontal="left"/>
    </xf>
    <xf numFmtId="0" fontId="5" fillId="0" borderId="0" xfId="0" applyFont="1"/>
    <xf numFmtId="9" fontId="0" fillId="0" borderId="0" xfId="1" applyFont="1"/>
    <xf numFmtId="0" fontId="7" fillId="0" borderId="0" xfId="0" applyFont="1"/>
    <xf numFmtId="14" fontId="0" fillId="0" borderId="0" xfId="0" applyNumberFormat="1" applyFont="1" applyAlignment="1">
      <alignment horizontal="left"/>
    </xf>
    <xf numFmtId="0" fontId="0" fillId="0" borderId="0" xfId="0" applyFont="1"/>
    <xf numFmtId="9" fontId="7" fillId="0" borderId="0" xfId="1" applyFont="1"/>
    <xf numFmtId="2" fontId="0" fillId="0" borderId="0" xfId="0" applyNumberFormat="1"/>
    <xf numFmtId="0" fontId="4" fillId="0" borderId="1" xfId="0" applyFont="1" applyBorder="1"/>
    <xf numFmtId="0" fontId="0" fillId="0" borderId="1" xfId="0" applyBorder="1"/>
    <xf numFmtId="0" fontId="5" fillId="0" borderId="1" xfId="0" applyFont="1" applyBorder="1"/>
    <xf numFmtId="14" fontId="0" fillId="0" borderId="1" xfId="0" applyNumberFormat="1" applyBorder="1" applyAlignment="1">
      <alignment horizontal="left"/>
    </xf>
    <xf numFmtId="0" fontId="4" fillId="0" borderId="0" xfId="0" applyFont="1" applyBorder="1"/>
    <xf numFmtId="14" fontId="0" fillId="0" borderId="0" xfId="0" applyNumberFormat="1" applyBorder="1" applyAlignment="1">
      <alignment horizontal="left"/>
    </xf>
    <xf numFmtId="0" fontId="0" fillId="0" borderId="0" xfId="0" applyBorder="1"/>
    <xf numFmtId="0" fontId="5" fillId="0" borderId="0" xfId="0" applyFont="1" applyBorder="1"/>
    <xf numFmtId="2" fontId="0" fillId="0" borderId="0" xfId="0" applyNumberFormat="1" applyBorder="1"/>
    <xf numFmtId="0" fontId="2" fillId="0" borderId="0" xfId="0" applyFont="1" applyBorder="1"/>
    <xf numFmtId="2" fontId="0" fillId="0" borderId="1" xfId="0" applyNumberFormat="1" applyBorder="1"/>
    <xf numFmtId="0" fontId="7" fillId="0" borderId="1" xfId="0" applyFont="1" applyBorder="1"/>
    <xf numFmtId="164" fontId="0" fillId="0" borderId="0" xfId="0" applyNumberFormat="1"/>
    <xf numFmtId="165" fontId="0" fillId="0" borderId="0" xfId="0" applyNumberFormat="1"/>
    <xf numFmtId="0" fontId="2" fillId="0" borderId="0" xfId="0" quotePrefix="1" applyFont="1"/>
    <xf numFmtId="20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quotePrefix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quotePrefix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66" fontId="0" fillId="0" borderId="0" xfId="0" applyNumberFormat="1"/>
    <xf numFmtId="0" fontId="4" fillId="0" borderId="0" xfId="0" applyFont="1" applyAlignment="1">
      <alignment vertical="center"/>
    </xf>
    <xf numFmtId="0" fontId="8" fillId="0" borderId="0" xfId="0" applyFont="1"/>
    <xf numFmtId="0" fontId="0" fillId="0" borderId="0" xfId="0" applyFill="1"/>
    <xf numFmtId="0" fontId="0" fillId="0" borderId="0" xfId="0" applyNumberFormat="1"/>
    <xf numFmtId="14" fontId="7" fillId="0" borderId="0" xfId="0" applyNumberFormat="1" applyFont="1" applyAlignment="1">
      <alignment horizontal="left"/>
    </xf>
    <xf numFmtId="168" fontId="0" fillId="0" borderId="0" xfId="0" applyNumberFormat="1"/>
    <xf numFmtId="0" fontId="2" fillId="0" borderId="7" xfId="0" applyFont="1" applyBorder="1"/>
    <xf numFmtId="0" fontId="2" fillId="0" borderId="15" xfId="0" applyFont="1" applyBorder="1"/>
    <xf numFmtId="0" fontId="2" fillId="0" borderId="8" xfId="0" applyFont="1" applyBorder="1"/>
    <xf numFmtId="2" fontId="0" fillId="0" borderId="6" xfId="0" applyNumberFormat="1" applyBorder="1"/>
    <xf numFmtId="164" fontId="0" fillId="0" borderId="9" xfId="0" applyNumberFormat="1" applyBorder="1"/>
    <xf numFmtId="168" fontId="0" fillId="0" borderId="9" xfId="0" applyNumberFormat="1" applyBorder="1"/>
    <xf numFmtId="2" fontId="0" fillId="0" borderId="9" xfId="0" applyNumberFormat="1" applyBorder="1"/>
    <xf numFmtId="167" fontId="0" fillId="0" borderId="9" xfId="0" applyNumberFormat="1" applyBorder="1"/>
    <xf numFmtId="2" fontId="0" fillId="0" borderId="10" xfId="0" applyNumberFormat="1" applyBorder="1"/>
    <xf numFmtId="0" fontId="0" fillId="0" borderId="0" xfId="0" applyAlignment="1">
      <alignment horizontal="right"/>
    </xf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10" xfId="0" applyFont="1" applyBorder="1"/>
    <xf numFmtId="0" fontId="7" fillId="0" borderId="9" xfId="0" applyFont="1" applyBorder="1"/>
    <xf numFmtId="0" fontId="0" fillId="0" borderId="9" xfId="0" applyNumberFormat="1" applyBorder="1"/>
    <xf numFmtId="165" fontId="0" fillId="0" borderId="9" xfId="0" applyNumberFormat="1" applyBorder="1"/>
    <xf numFmtId="0" fontId="10" fillId="0" borderId="1" xfId="0" applyFont="1" applyBorder="1"/>
    <xf numFmtId="0" fontId="2" fillId="0" borderId="1" xfId="0" applyFont="1" applyBorder="1"/>
    <xf numFmtId="165" fontId="0" fillId="0" borderId="1" xfId="0" applyNumberFormat="1" applyBorder="1"/>
    <xf numFmtId="165" fontId="0" fillId="0" borderId="16" xfId="0" applyNumberFormat="1" applyBorder="1"/>
    <xf numFmtId="165" fontId="0" fillId="0" borderId="0" xfId="0" applyNumberFormat="1" applyFill="1" applyBorder="1"/>
    <xf numFmtId="0" fontId="0" fillId="0" borderId="16" xfId="0" applyBorder="1"/>
    <xf numFmtId="0" fontId="0" fillId="0" borderId="1" xfId="0" applyFill="1" applyBorder="1"/>
    <xf numFmtId="0" fontId="7" fillId="0" borderId="0" xfId="0" applyFont="1" applyFill="1"/>
    <xf numFmtId="164" fontId="0" fillId="0" borderId="0" xfId="0" applyNumberFormat="1" applyFill="1"/>
    <xf numFmtId="0" fontId="0" fillId="0" borderId="0" xfId="0" applyNumberFormat="1" applyFill="1"/>
    <xf numFmtId="165" fontId="0" fillId="0" borderId="0" xfId="0" applyNumberFormat="1" applyFill="1"/>
    <xf numFmtId="0" fontId="0" fillId="0" borderId="0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13" xfId="0" applyFill="1" applyBorder="1"/>
    <xf numFmtId="0" fontId="0" fillId="2" borderId="9" xfId="0" applyFill="1" applyBorder="1"/>
    <xf numFmtId="0" fontId="0" fillId="2" borderId="10" xfId="0" applyFill="1" applyBorder="1"/>
    <xf numFmtId="165" fontId="0" fillId="0" borderId="1" xfId="0" applyNumberFormat="1" applyFill="1" applyBorder="1"/>
    <xf numFmtId="0" fontId="0" fillId="3" borderId="2" xfId="0" applyFill="1" applyBorder="1"/>
    <xf numFmtId="0" fontId="0" fillId="3" borderId="3" xfId="0" applyFill="1" applyBorder="1"/>
    <xf numFmtId="0" fontId="2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3" xfId="0" applyFill="1" applyBorder="1"/>
    <xf numFmtId="0" fontId="0" fillId="3" borderId="9" xfId="0" applyFill="1" applyBorder="1"/>
    <xf numFmtId="0" fontId="0" fillId="3" borderId="1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0" borderId="15" xfId="0" applyFont="1" applyBorder="1"/>
    <xf numFmtId="165" fontId="0" fillId="0" borderId="0" xfId="0" applyNumberFormat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0" fillId="0" borderId="6" xfId="0" applyNumberFormat="1" applyBorder="1"/>
    <xf numFmtId="0" fontId="0" fillId="4" borderId="5" xfId="0" applyFill="1" applyBorder="1"/>
    <xf numFmtId="0" fontId="0" fillId="4" borderId="13" xfId="0" applyFill="1" applyBorder="1"/>
    <xf numFmtId="0" fontId="0" fillId="4" borderId="9" xfId="0" applyFill="1" applyBorder="1"/>
    <xf numFmtId="0" fontId="0" fillId="0" borderId="0" xfId="0" applyAlignment="1">
      <alignment vertical="center"/>
    </xf>
    <xf numFmtId="0" fontId="0" fillId="2" borderId="0" xfId="0" applyFill="1"/>
    <xf numFmtId="20" fontId="0" fillId="0" borderId="6" xfId="0" applyNumberFormat="1" applyBorder="1"/>
    <xf numFmtId="0" fontId="2" fillId="0" borderId="15" xfId="0" applyFont="1" applyBorder="1" applyAlignment="1">
      <alignment wrapText="1"/>
    </xf>
    <xf numFmtId="20" fontId="0" fillId="0" borderId="9" xfId="0" applyNumberFormat="1" applyBorder="1"/>
    <xf numFmtId="20" fontId="0" fillId="0" borderId="10" xfId="0" applyNumberFormat="1" applyBorder="1"/>
    <xf numFmtId="14" fontId="0" fillId="0" borderId="9" xfId="0" applyNumberFormat="1" applyBorder="1"/>
    <xf numFmtId="0" fontId="0" fillId="3" borderId="0" xfId="0" applyFill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167" fontId="0" fillId="0" borderId="0" xfId="0" applyNumberFormat="1"/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Fill="1"/>
    <xf numFmtId="166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/>
    <xf numFmtId="2" fontId="1" fillId="0" borderId="6" xfId="0" applyNumberFormat="1" applyFont="1" applyBorder="1"/>
    <xf numFmtId="2" fontId="0" fillId="0" borderId="0" xfId="0" applyNumberFormat="1" applyFill="1"/>
    <xf numFmtId="164" fontId="0" fillId="0" borderId="0" xfId="0" applyNumberFormat="1" applyBorder="1"/>
    <xf numFmtId="164" fontId="1" fillId="0" borderId="0" xfId="0" applyNumberFormat="1" applyFont="1" applyBorder="1"/>
    <xf numFmtId="0" fontId="13" fillId="0" borderId="0" xfId="2" applyFont="1" applyAlignment="1">
      <alignment horizontal="left" vertical="top"/>
    </xf>
    <xf numFmtId="0" fontId="6" fillId="0" borderId="0" xfId="2" applyFont="1" applyAlignment="1">
      <alignment horizontal="left" vertical="top"/>
    </xf>
    <xf numFmtId="0" fontId="6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/>
    </xf>
    <xf numFmtId="0" fontId="15" fillId="0" borderId="20" xfId="2" applyFont="1" applyBorder="1" applyAlignment="1">
      <alignment horizontal="left" vertical="top"/>
    </xf>
    <xf numFmtId="0" fontId="6" fillId="0" borderId="20" xfId="2" applyFont="1" applyBorder="1" applyAlignment="1">
      <alignment horizontal="left" vertical="top"/>
    </xf>
    <xf numFmtId="165" fontId="6" fillId="0" borderId="20" xfId="2" applyNumberFormat="1" applyFont="1" applyBorder="1" applyAlignment="1">
      <alignment horizontal="left" vertical="top"/>
    </xf>
    <xf numFmtId="0" fontId="6" fillId="0" borderId="21" xfId="2" applyFont="1" applyBorder="1" applyAlignment="1">
      <alignment horizontal="left" vertical="top"/>
    </xf>
    <xf numFmtId="164" fontId="6" fillId="0" borderId="21" xfId="2" applyNumberFormat="1" applyFont="1" applyBorder="1" applyAlignment="1">
      <alignment horizontal="left" vertical="top"/>
    </xf>
    <xf numFmtId="0" fontId="15" fillId="0" borderId="0" xfId="2" applyFont="1" applyAlignment="1">
      <alignment horizontal="left" vertical="top"/>
    </xf>
    <xf numFmtId="0" fontId="6" fillId="5" borderId="22" xfId="2" applyFont="1" applyFill="1" applyBorder="1" applyAlignment="1">
      <alignment horizontal="left" vertical="top"/>
    </xf>
    <xf numFmtId="0" fontId="6" fillId="4" borderId="22" xfId="2" applyFont="1" applyFill="1" applyBorder="1" applyAlignment="1">
      <alignment horizontal="left" vertical="top" wrapText="1"/>
    </xf>
    <xf numFmtId="0" fontId="6" fillId="4" borderId="22" xfId="2" applyFont="1" applyFill="1" applyBorder="1" applyAlignment="1">
      <alignment horizontal="left" vertical="top"/>
    </xf>
    <xf numFmtId="0" fontId="6" fillId="5" borderId="22" xfId="2" applyFont="1" applyFill="1" applyBorder="1" applyAlignment="1">
      <alignment horizontal="left" vertical="top" wrapText="1"/>
    </xf>
    <xf numFmtId="0" fontId="11" fillId="6" borderId="22" xfId="2" applyFont="1" applyFill="1" applyBorder="1" applyAlignment="1">
      <alignment horizontal="left" vertical="top" wrapText="1"/>
    </xf>
    <xf numFmtId="0" fontId="6" fillId="0" borderId="22" xfId="2" applyFont="1" applyBorder="1" applyAlignment="1">
      <alignment horizontal="left" vertical="top"/>
    </xf>
    <xf numFmtId="0" fontId="6" fillId="0" borderId="22" xfId="2" applyFont="1" applyBorder="1" applyAlignment="1">
      <alignment horizontal="left" vertical="top" wrapText="1"/>
    </xf>
    <xf numFmtId="0" fontId="2" fillId="0" borderId="0" xfId="2" applyFont="1" applyAlignment="1">
      <alignment horizontal="left" vertical="top"/>
    </xf>
    <xf numFmtId="2" fontId="6" fillId="0" borderId="0" xfId="2" applyNumberFormat="1" applyFont="1" applyAlignment="1">
      <alignment horizontal="left" vertical="top"/>
    </xf>
    <xf numFmtId="165" fontId="6" fillId="0" borderId="0" xfId="2" applyNumberFormat="1" applyFont="1" applyAlignment="1">
      <alignment horizontal="left" vertical="top"/>
    </xf>
    <xf numFmtId="0" fontId="6" fillId="0" borderId="22" xfId="2" applyFont="1" applyBorder="1"/>
    <xf numFmtId="0" fontId="2" fillId="0" borderId="22" xfId="2" applyFont="1" applyBorder="1" applyAlignment="1">
      <alignment horizontal="left" vertical="top"/>
    </xf>
    <xf numFmtId="0" fontId="7" fillId="0" borderId="22" xfId="2" applyFont="1" applyBorder="1"/>
    <xf numFmtId="2" fontId="6" fillId="0" borderId="22" xfId="2" applyNumberFormat="1" applyFont="1" applyBorder="1" applyAlignment="1">
      <alignment horizontal="left" vertical="top"/>
    </xf>
    <xf numFmtId="166" fontId="6" fillId="0" borderId="22" xfId="2" applyNumberFormat="1" applyFont="1" applyBorder="1" applyAlignment="1">
      <alignment horizontal="left" vertical="top"/>
    </xf>
    <xf numFmtId="2" fontId="6" fillId="0" borderId="22" xfId="2" applyNumberFormat="1" applyFont="1" applyBorder="1" applyAlignment="1">
      <alignment horizontal="left"/>
    </xf>
    <xf numFmtId="2" fontId="6" fillId="0" borderId="22" xfId="3" applyNumberFormat="1" applyBorder="1" applyAlignment="1">
      <alignment horizontal="left" vertical="top"/>
    </xf>
    <xf numFmtId="2" fontId="7" fillId="0" borderId="22" xfId="2" applyNumberFormat="1" applyFont="1" applyBorder="1" applyAlignment="1">
      <alignment horizontal="left" vertical="top"/>
    </xf>
    <xf numFmtId="164" fontId="6" fillId="0" borderId="22" xfId="2" applyNumberFormat="1" applyFont="1" applyBorder="1" applyAlignment="1">
      <alignment horizontal="left" vertical="top"/>
    </xf>
    <xf numFmtId="1" fontId="6" fillId="0" borderId="22" xfId="2" applyNumberFormat="1" applyFont="1" applyBorder="1"/>
    <xf numFmtId="164" fontId="6" fillId="0" borderId="22" xfId="2" applyNumberFormat="1" applyFont="1" applyBorder="1" applyAlignment="1">
      <alignment horizontal="left" vertical="top" wrapText="1"/>
    </xf>
    <xf numFmtId="2" fontId="6" fillId="0" borderId="22" xfId="2" applyNumberFormat="1" applyFont="1" applyBorder="1" applyAlignment="1">
      <alignment horizontal="left" vertical="top" wrapText="1"/>
    </xf>
    <xf numFmtId="0" fontId="6" fillId="0" borderId="0" xfId="2" applyFont="1"/>
    <xf numFmtId="166" fontId="7" fillId="0" borderId="22" xfId="2" quotePrefix="1" applyNumberFormat="1" applyFont="1" applyBorder="1" applyAlignment="1">
      <alignment horizontal="left"/>
    </xf>
    <xf numFmtId="164" fontId="7" fillId="0" borderId="22" xfId="2" quotePrefix="1" applyNumberFormat="1" applyFont="1" applyBorder="1" applyAlignment="1">
      <alignment horizontal="left"/>
    </xf>
    <xf numFmtId="164" fontId="6" fillId="0" borderId="0" xfId="2" applyNumberFormat="1" applyFont="1"/>
    <xf numFmtId="165" fontId="6" fillId="0" borderId="22" xfId="2" applyNumberFormat="1" applyFont="1" applyBorder="1"/>
    <xf numFmtId="0" fontId="6" fillId="0" borderId="22" xfId="2" applyFont="1" applyBorder="1" applyAlignment="1">
      <alignment horizontal="left"/>
    </xf>
    <xf numFmtId="0" fontId="6" fillId="4" borderId="22" xfId="2" applyFont="1" applyFill="1" applyBorder="1"/>
    <xf numFmtId="0" fontId="2" fillId="4" borderId="22" xfId="2" applyFont="1" applyFill="1" applyBorder="1" applyAlignment="1">
      <alignment horizontal="left" vertical="top"/>
    </xf>
    <xf numFmtId="0" fontId="7" fillId="4" borderId="22" xfId="2" applyFont="1" applyFill="1" applyBorder="1"/>
    <xf numFmtId="2" fontId="6" fillId="4" borderId="22" xfId="2" applyNumberFormat="1" applyFont="1" applyFill="1" applyBorder="1" applyAlignment="1">
      <alignment horizontal="left" vertical="top"/>
    </xf>
    <xf numFmtId="166" fontId="6" fillId="4" borderId="22" xfId="2" applyNumberFormat="1" applyFont="1" applyFill="1" applyBorder="1" applyAlignment="1">
      <alignment horizontal="left" vertical="top"/>
    </xf>
    <xf numFmtId="2" fontId="6" fillId="4" borderId="22" xfId="2" applyNumberFormat="1" applyFont="1" applyFill="1" applyBorder="1" applyAlignment="1">
      <alignment horizontal="left"/>
    </xf>
    <xf numFmtId="2" fontId="6" fillId="4" borderId="22" xfId="3" applyNumberFormat="1" applyFill="1" applyBorder="1" applyAlignment="1">
      <alignment horizontal="left" vertical="top"/>
    </xf>
    <xf numFmtId="164" fontId="6" fillId="4" borderId="22" xfId="2" applyNumberFormat="1" applyFont="1" applyFill="1" applyBorder="1" applyAlignment="1">
      <alignment horizontal="left" vertical="top"/>
    </xf>
    <xf numFmtId="1" fontId="6" fillId="4" borderId="22" xfId="2" applyNumberFormat="1" applyFont="1" applyFill="1" applyBorder="1"/>
    <xf numFmtId="2" fontId="6" fillId="4" borderId="22" xfId="2" applyNumberFormat="1" applyFont="1" applyFill="1" applyBorder="1"/>
    <xf numFmtId="2" fontId="6" fillId="0" borderId="22" xfId="2" applyNumberFormat="1" applyFont="1" applyBorder="1"/>
    <xf numFmtId="164" fontId="6" fillId="0" borderId="22" xfId="2" applyNumberFormat="1" applyFont="1" applyBorder="1"/>
    <xf numFmtId="2" fontId="1" fillId="0" borderId="22" xfId="2" applyNumberFormat="1" applyFont="1" applyBorder="1"/>
    <xf numFmtId="164" fontId="1" fillId="0" borderId="22" xfId="2" applyNumberFormat="1" applyFont="1" applyBorder="1"/>
    <xf numFmtId="164" fontId="7" fillId="0" borderId="22" xfId="2" applyNumberFormat="1" applyFont="1" applyBorder="1" applyAlignment="1">
      <alignment horizontal="left" vertical="top"/>
    </xf>
    <xf numFmtId="1" fontId="6" fillId="0" borderId="22" xfId="2" applyNumberFormat="1" applyFont="1" applyBorder="1" applyAlignment="1">
      <alignment horizontal="right"/>
    </xf>
    <xf numFmtId="1" fontId="6" fillId="0" borderId="22" xfId="2" applyNumberFormat="1" applyFont="1" applyBorder="1" applyAlignment="1">
      <alignment horizontal="right" vertical="top"/>
    </xf>
    <xf numFmtId="164" fontId="1" fillId="0" borderId="0" xfId="2" applyNumberFormat="1" applyFont="1"/>
    <xf numFmtId="2" fontId="6" fillId="0" borderId="0" xfId="2" applyNumberFormat="1" applyFont="1"/>
    <xf numFmtId="2" fontId="6" fillId="0" borderId="9" xfId="2" applyNumberFormat="1" applyFont="1" applyBorder="1"/>
    <xf numFmtId="9" fontId="0" fillId="0" borderId="0" xfId="1" applyFont="1" applyFill="1"/>
    <xf numFmtId="2" fontId="0" fillId="0" borderId="1" xfId="0" applyNumberFormat="1" applyFill="1" applyBorder="1"/>
    <xf numFmtId="2" fontId="0" fillId="0" borderId="0" xfId="0" applyNumberFormat="1" applyFill="1" applyBorder="1"/>
    <xf numFmtId="166" fontId="0" fillId="0" borderId="0" xfId="0" applyNumberFormat="1" applyFill="1"/>
    <xf numFmtId="2" fontId="0" fillId="4" borderId="6" xfId="0" applyNumberFormat="1" applyFill="1" applyBorder="1"/>
    <xf numFmtId="2" fontId="0" fillId="4" borderId="10" xfId="0" applyNumberFormat="1" applyFill="1" applyBorder="1"/>
    <xf numFmtId="164" fontId="6" fillId="0" borderId="0" xfId="2" applyNumberFormat="1" applyFont="1" applyAlignment="1">
      <alignment horizontal="left" vertical="top"/>
    </xf>
    <xf numFmtId="169" fontId="0" fillId="0" borderId="0" xfId="0" applyNumberFormat="1"/>
    <xf numFmtId="2" fontId="6" fillId="0" borderId="0" xfId="2" applyNumberFormat="1" applyFont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2" fontId="7" fillId="0" borderId="6" xfId="0" applyNumberFormat="1" applyFont="1" applyBorder="1"/>
    <xf numFmtId="2" fontId="7" fillId="0" borderId="0" xfId="0" applyNumberFormat="1" applyFont="1"/>
    <xf numFmtId="14" fontId="0" fillId="0" borderId="0" xfId="0" applyNumberFormat="1" applyAlignment="1">
      <alignment vertical="center"/>
    </xf>
    <xf numFmtId="1" fontId="0" fillId="0" borderId="0" xfId="0" applyNumberFormat="1"/>
    <xf numFmtId="14" fontId="0" fillId="4" borderId="0" xfId="0" applyNumberFormat="1" applyFill="1"/>
    <xf numFmtId="1" fontId="0" fillId="4" borderId="0" xfId="0" applyNumberFormat="1" applyFill="1"/>
    <xf numFmtId="0" fontId="0" fillId="4" borderId="6" xfId="0" applyFill="1" applyBorder="1"/>
    <xf numFmtId="166" fontId="0" fillId="4" borderId="0" xfId="0" applyNumberFormat="1" applyFill="1"/>
    <xf numFmtId="3" fontId="0" fillId="0" borderId="0" xfId="0" applyNumberFormat="1"/>
    <xf numFmtId="0" fontId="0" fillId="4" borderId="10" xfId="0" applyFill="1" applyBorder="1"/>
    <xf numFmtId="2" fontId="0" fillId="4" borderId="0" xfId="0" applyNumberFormat="1" applyFill="1"/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 readingOrder="1"/>
    </xf>
    <xf numFmtId="0" fontId="2" fillId="0" borderId="4" xfId="0" applyFont="1" applyBorder="1" applyAlignment="1">
      <alignment wrapText="1" readingOrder="1"/>
    </xf>
    <xf numFmtId="0" fontId="2" fillId="0" borderId="0" xfId="0" applyFont="1" applyAlignment="1">
      <alignment wrapText="1" readingOrder="1"/>
    </xf>
    <xf numFmtId="0" fontId="0" fillId="0" borderId="0" xfId="0" applyAlignment="1">
      <alignment vertical="top"/>
    </xf>
    <xf numFmtId="2" fontId="1" fillId="0" borderId="0" xfId="0" applyNumberFormat="1" applyFont="1" applyBorder="1"/>
    <xf numFmtId="164" fontId="0" fillId="0" borderId="10" xfId="0" applyNumberFormat="1" applyBorder="1"/>
    <xf numFmtId="0" fontId="0" fillId="0" borderId="0" xfId="0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2" applyFont="1" applyAlignment="1">
      <alignment horizontal="center" vertical="top"/>
    </xf>
  </cellXfs>
  <cellStyles count="4">
    <cellStyle name="Normal 2" xfId="3" xr:uid="{E6AA0DF9-3E89-4060-8C7E-9394E10486B7}"/>
    <cellStyle name="Prozent" xfId="1" builtinId="5"/>
    <cellStyle name="Standard" xfId="0" builtinId="0"/>
    <cellStyle name="Standard 2" xfId="2" xr:uid="{195DA322-33DE-4540-ACAF-44E9D03CC9F3}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3.5644646753087643E-2"/>
                  <c:y val="-0.17642031171442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'6_GC measurements aerobic'!$K$13:$K$16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'6_GC measurements aerobic'!$L$13:$L$16</c:f>
              <c:numCache>
                <c:formatCode>General</c:formatCode>
                <c:ptCount val="4"/>
                <c:pt idx="0">
                  <c:v>0</c:v>
                </c:pt>
                <c:pt idx="1">
                  <c:v>826.88274999999999</c:v>
                </c:pt>
                <c:pt idx="2">
                  <c:v>3084.285625</c:v>
                </c:pt>
                <c:pt idx="3">
                  <c:v>8203.5567499999997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45-4325-B5C0-76BCFB575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'6_GC measurements aerobic'!$K$13:$K$16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'6_GC measurements aerobic'!$L$52:$L$55</c:f>
              <c:numCache>
                <c:formatCode>General</c:formatCode>
                <c:ptCount val="4"/>
                <c:pt idx="0">
                  <c:v>0</c:v>
                </c:pt>
                <c:pt idx="1">
                  <c:v>853.44433333333336</c:v>
                </c:pt>
                <c:pt idx="2">
                  <c:v>3184.8550000000005</c:v>
                </c:pt>
                <c:pt idx="3">
                  <c:v>8636.9950000000008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D6-4919-AFE9-BC762D270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4621307435313853E-2"/>
                  <c:y val="-0.16636500754147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'6_GC measurements aerobic'!$K$13:$K$16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'6_GC measurements aerobic'!$L$90:$L$93</c:f>
              <c:numCache>
                <c:formatCode>General</c:formatCode>
                <c:ptCount val="4"/>
                <c:pt idx="0">
                  <c:v>0</c:v>
                </c:pt>
                <c:pt idx="1">
                  <c:v>838.5338333333334</c:v>
                </c:pt>
                <c:pt idx="2">
                  <c:v>3076.1243333333332</c:v>
                </c:pt>
                <c:pt idx="3">
                  <c:v>8417.5850000000009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29-4C37-AAE2-1BA71E786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121354061511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aerobic'!$C$8,'6_GC measurements aerobic'!$C$45,'6_GC measurements aerobic'!$C$83,'6_GC measurements aerobic'!$C$120)</c:f>
              <c:numCache>
                <c:formatCode>0.00</c:formatCode>
                <c:ptCount val="4"/>
                <c:pt idx="0">
                  <c:v>0</c:v>
                </c:pt>
                <c:pt idx="1">
                  <c:v>22.483333333453629</c:v>
                </c:pt>
                <c:pt idx="2">
                  <c:v>28.966666666790843</c:v>
                </c:pt>
                <c:pt idx="3">
                  <c:v>46.433333333465271</c:v>
                </c:pt>
              </c:numCache>
            </c:numRef>
          </c:xVal>
          <c:yVal>
            <c:numRef>
              <c:f>('6_GC measurements aerobic'!$F$8,'6_GC measurements aerobic'!$F$45,'6_GC measurements aerobic'!$F$83,'6_GC measurements aerobic'!$F$120)</c:f>
              <c:numCache>
                <c:formatCode>General</c:formatCode>
                <c:ptCount val="4"/>
                <c:pt idx="0">
                  <c:v>115.73630633018378</c:v>
                </c:pt>
                <c:pt idx="1">
                  <c:v>1678.8311680144884</c:v>
                </c:pt>
                <c:pt idx="2">
                  <c:v>2083.0280777089042</c:v>
                </c:pt>
                <c:pt idx="3">
                  <c:v>3663.1592113516958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DE-4244-8359-8A430CE3B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9439653978304742E-2"/>
                  <c:y val="-0.18514676749889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'6_GC measurements aerobic'!$K$13:$K$16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'6_GC measurements aerobic'!$L$127:$L$130</c:f>
              <c:numCache>
                <c:formatCode>General</c:formatCode>
                <c:ptCount val="4"/>
                <c:pt idx="0">
                  <c:v>0</c:v>
                </c:pt>
                <c:pt idx="1">
                  <c:v>892.49862500000006</c:v>
                </c:pt>
                <c:pt idx="2">
                  <c:v>3140.7579999999998</c:v>
                </c:pt>
                <c:pt idx="3">
                  <c:v>8425.1956666666665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6-4B47-9473-B3B88FAEB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'6_GC measurements aerobic'!$K$145:$K$148</c:f>
              <c:numCache>
                <c:formatCode>General</c:formatCode>
                <c:ptCount val="4"/>
                <c:pt idx="0">
                  <c:v>0</c:v>
                </c:pt>
                <c:pt idx="1">
                  <c:v>0.8</c:v>
                </c:pt>
                <c:pt idx="2">
                  <c:v>2</c:v>
                </c:pt>
                <c:pt idx="3">
                  <c:v>1000</c:v>
                </c:pt>
              </c:numCache>
            </c:numRef>
          </c:xVal>
          <c:yVal>
            <c:numRef>
              <c:f>'6_GC measurements aerobic'!$L$145:$L$148</c:f>
              <c:numCache>
                <c:formatCode>General</c:formatCode>
                <c:ptCount val="4"/>
                <c:pt idx="0">
                  <c:v>0</c:v>
                </c:pt>
                <c:pt idx="1">
                  <c:v>7.0266666666666664</c:v>
                </c:pt>
                <c:pt idx="2">
                  <c:v>14.92775</c:v>
                </c:pt>
                <c:pt idx="3">
                  <c:v>7210.015166666667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51B-41C9-A1D5-43EF4BAC9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157890452265666"/>
                  <c:y val="-0.237887167623665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aerobic'!$C$9,'6_GC measurements aerobic'!$C$46,'6_GC measurements aerobic'!$C$84,'6_GC measurements aerobic'!$C$121)</c:f>
              <c:numCache>
                <c:formatCode>0.00</c:formatCode>
                <c:ptCount val="4"/>
                <c:pt idx="0">
                  <c:v>0</c:v>
                </c:pt>
                <c:pt idx="1">
                  <c:v>21.916666666686069</c:v>
                </c:pt>
                <c:pt idx="2">
                  <c:v>28.350000000034925</c:v>
                </c:pt>
                <c:pt idx="3">
                  <c:v>46.533333333267365</c:v>
                </c:pt>
              </c:numCache>
            </c:numRef>
          </c:xVal>
          <c:yVal>
            <c:numRef>
              <c:f>('6_GC measurements aerobic'!$F$9,'6_GC measurements aerobic'!$F$46,'6_GC measurements aerobic'!$F$84,'6_GC measurements aerobic'!$F$121)</c:f>
              <c:numCache>
                <c:formatCode>General</c:formatCode>
                <c:ptCount val="4"/>
                <c:pt idx="0">
                  <c:v>17.077692537160804</c:v>
                </c:pt>
                <c:pt idx="1">
                  <c:v>853.64736804926872</c:v>
                </c:pt>
                <c:pt idx="2">
                  <c:v>1066.8234251914064</c:v>
                </c:pt>
                <c:pt idx="3">
                  <c:v>1960.0183924501428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4F-4DFD-8EBF-46035E3F0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91900063125013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aerobic'!$C$10,'6_GC measurements aerobic'!$C$47,'6_GC measurements aerobic'!$C$85,'6_GC measurements aerobic'!$C$122)</c:f>
              <c:numCache>
                <c:formatCode>0.00</c:formatCode>
                <c:ptCount val="4"/>
                <c:pt idx="0">
                  <c:v>0</c:v>
                </c:pt>
                <c:pt idx="1">
                  <c:v>22.450000000011642</c:v>
                </c:pt>
                <c:pt idx="2">
                  <c:v>28.933333333348855</c:v>
                </c:pt>
                <c:pt idx="3">
                  <c:v>46.416666666569654</c:v>
                </c:pt>
              </c:numCache>
            </c:numRef>
          </c:xVal>
          <c:yVal>
            <c:numRef>
              <c:f>('6_GC measurements aerobic'!$F$10,'6_GC measurements aerobic'!$F$47,'6_GC measurements aerobic'!$F$85,'6_GC measurements aerobic'!$F$122)</c:f>
              <c:numCache>
                <c:formatCode>General</c:formatCode>
                <c:ptCount val="4"/>
                <c:pt idx="0">
                  <c:v>170.792508096478</c:v>
                </c:pt>
                <c:pt idx="1">
                  <c:v>2418.503700579754</c:v>
                </c:pt>
                <c:pt idx="2">
                  <c:v>2944.6354867729174</c:v>
                </c:pt>
                <c:pt idx="3">
                  <c:v>4866.0485041322481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B0-4216-8FAE-F5C241D9A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581846572975845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aerobic'!$C$11,'6_GC measurements aerobic'!$C$48,'6_GC measurements aerobic'!$C$86,'6_GC measurements aerobic'!$C$123)</c:f>
              <c:numCache>
                <c:formatCode>0.00</c:formatCode>
                <c:ptCount val="4"/>
                <c:pt idx="0">
                  <c:v>0</c:v>
                </c:pt>
                <c:pt idx="1">
                  <c:v>22.466666666558012</c:v>
                </c:pt>
                <c:pt idx="2">
                  <c:v>28.949999999895226</c:v>
                </c:pt>
                <c:pt idx="3">
                  <c:v>46.450000000011642</c:v>
                </c:pt>
              </c:numCache>
            </c:numRef>
          </c:xVal>
          <c:yVal>
            <c:numRef>
              <c:f>('6_GC measurements aerobic'!$F$11,'6_GC measurements aerobic'!$F$48,'6_GC measurements aerobic'!$F$86,'6_GC measurements aerobic'!$F$123)</c:f>
              <c:numCache>
                <c:formatCode>General</c:formatCode>
                <c:ptCount val="4"/>
                <c:pt idx="0">
                  <c:v>614.92938449918347</c:v>
                </c:pt>
                <c:pt idx="1">
                  <c:v>7635.6629364300497</c:v>
                </c:pt>
                <c:pt idx="2">
                  <c:v>9385.146809337135</c:v>
                </c:pt>
                <c:pt idx="3">
                  <c:v>15272.088829735912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8F-4E1D-BD6D-92324354D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864546994916777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aerobic'!$C$12,'6_GC measurements aerobic'!$C$49,'6_GC measurements aerobic'!$C$87,'6_GC measurements aerobic'!$C$124)</c:f>
              <c:numCache>
                <c:formatCode>0.00</c:formatCode>
                <c:ptCount val="4"/>
                <c:pt idx="0">
                  <c:v>0</c:v>
                </c:pt>
                <c:pt idx="1">
                  <c:v>22.466666666558012</c:v>
                </c:pt>
                <c:pt idx="2">
                  <c:v>28.949999999895226</c:v>
                </c:pt>
                <c:pt idx="3">
                  <c:v>46.649999999965075</c:v>
                </c:pt>
              </c:numCache>
            </c:numRef>
          </c:xVal>
          <c:yVal>
            <c:numRef>
              <c:f>('6_GC measurements aerobic'!$F$12,'6_GC measurements aerobic'!$F$49,'6_GC measurements aerobic'!$F$87,'6_GC measurements aerobic'!$F$124)</c:f>
              <c:numCache>
                <c:formatCode>General</c:formatCode>
                <c:ptCount val="4"/>
                <c:pt idx="0">
                  <c:v>1085.6396764066756</c:v>
                </c:pt>
                <c:pt idx="1">
                  <c:v>12680.698339495659</c:v>
                </c:pt>
                <c:pt idx="2">
                  <c:v>15416.843983867533</c:v>
                </c:pt>
                <c:pt idx="3">
                  <c:v>23690.049496944361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15D-49F2-87C4-1D4C69369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3496691118738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aerobic'!$C$13,'6_GC measurements aerobic'!$C$50,'6_GC measurements aerobic'!$C$88,'6_GC measurements aerobic'!$C$125)</c:f>
              <c:numCache>
                <c:formatCode>0.00</c:formatCode>
                <c:ptCount val="4"/>
                <c:pt idx="0">
                  <c:v>0</c:v>
                </c:pt>
                <c:pt idx="1">
                  <c:v>22.483333333279006</c:v>
                </c:pt>
                <c:pt idx="2">
                  <c:v>28.96666666661622</c:v>
                </c:pt>
                <c:pt idx="3">
                  <c:v>46.516666666720994</c:v>
                </c:pt>
              </c:numCache>
            </c:numRef>
          </c:xVal>
          <c:yVal>
            <c:numRef>
              <c:f>('6_GC measurements aerobic'!$F$13,'6_GC measurements aerobic'!$F$50,'6_GC measurements aerobic'!$F$88,'6_GC measurements aerobic'!$F$125)</c:f>
              <c:numCache>
                <c:formatCode>General</c:formatCode>
                <c:ptCount val="4"/>
                <c:pt idx="0">
                  <c:v>152.82854808233878</c:v>
                </c:pt>
                <c:pt idx="1">
                  <c:v>1896.9312935110565</c:v>
                </c:pt>
                <c:pt idx="2">
                  <c:v>2383.5030402362631</c:v>
                </c:pt>
                <c:pt idx="3">
                  <c:v>3929.181140815107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C-4FBB-A5C0-726492C87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727598923552276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aerobic'!$C$14,'6_GC measurements aerobic'!$C$51,'6_GC measurements aerobic'!$C$89,'6_GC measurements aerobic'!$C$126)</c:f>
              <c:numCache>
                <c:formatCode>0.00</c:formatCode>
                <c:ptCount val="4"/>
                <c:pt idx="0">
                  <c:v>0</c:v>
                </c:pt>
                <c:pt idx="1">
                  <c:v>22.566666666709352</c:v>
                </c:pt>
                <c:pt idx="2">
                  <c:v>28.916666666627862</c:v>
                </c:pt>
                <c:pt idx="3">
                  <c:v>46.566666666709352</c:v>
                </c:pt>
              </c:numCache>
            </c:numRef>
          </c:xVal>
          <c:yVal>
            <c:numRef>
              <c:f>('6_GC measurements aerobic'!$F$14,'6_GC measurements aerobic'!$F$51,'6_GC measurements aerobic'!$F$89,'6_GC measurements aerobic'!$F$126)</c:f>
              <c:numCache>
                <c:formatCode>General</c:formatCode>
                <c:ptCount val="4"/>
                <c:pt idx="0">
                  <c:v>44.039215283239564</c:v>
                </c:pt>
                <c:pt idx="1">
                  <c:v>541.71062609224077</c:v>
                </c:pt>
                <c:pt idx="2">
                  <c:v>754.59796531350241</c:v>
                </c:pt>
                <c:pt idx="3">
                  <c:v>1381.2259085529902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0C-47BF-8D63-8409AC2C3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024053955280916"/>
                  <c:y val="-0.18854700854700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aerobic'!$C$15,'6_GC measurements aerobic'!$C$52,'6_GC measurements aerobic'!$C$90,'6_GC measurements aerobic'!$C$127)</c:f>
              <c:numCache>
                <c:formatCode>0.00</c:formatCode>
                <c:ptCount val="4"/>
                <c:pt idx="0">
                  <c:v>0</c:v>
                </c:pt>
                <c:pt idx="1">
                  <c:v>22.533333333267365</c:v>
                </c:pt>
                <c:pt idx="2">
                  <c:v>28.899999999906868</c:v>
                </c:pt>
                <c:pt idx="3">
                  <c:v>46.566666666534729</c:v>
                </c:pt>
              </c:numCache>
            </c:numRef>
          </c:xVal>
          <c:yVal>
            <c:numRef>
              <c:f>('6_GC measurements aerobic'!$F$15,'6_GC measurements aerobic'!$F$52,'6_GC measurements aerobic'!$F$90,'6_GC measurements aerobic'!$F$127)</c:f>
              <c:numCache>
                <c:formatCode>General</c:formatCode>
                <c:ptCount val="4"/>
                <c:pt idx="0">
                  <c:v>103.31005716670305</c:v>
                </c:pt>
                <c:pt idx="1">
                  <c:v>1227.5062701289321</c:v>
                </c:pt>
                <c:pt idx="2">
                  <c:v>1665.3505721972331</c:v>
                </c:pt>
                <c:pt idx="3">
                  <c:v>2836.050546701249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83-4999-A969-478B5AC18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6485265291205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aerobic'!$C$16,'6_GC measurements aerobic'!$C$53,'6_GC measurements aerobic'!$C$91,'6_GC measurements aerobic'!$C$128)</c:f>
              <c:numCache>
                <c:formatCode>0.00</c:formatCode>
                <c:ptCount val="4"/>
                <c:pt idx="0">
                  <c:v>0</c:v>
                </c:pt>
                <c:pt idx="1">
                  <c:v>22.599999999976717</c:v>
                </c:pt>
                <c:pt idx="2">
                  <c:v>28.899999999906868</c:v>
                </c:pt>
                <c:pt idx="3">
                  <c:v>46.716666666674428</c:v>
                </c:pt>
              </c:numCache>
            </c:numRef>
          </c:xVal>
          <c:yVal>
            <c:numRef>
              <c:f>('6_GC measurements aerobic'!$F$16,'6_GC measurements aerobic'!$F$53,'6_GC measurements aerobic'!$F$91,'6_GC measurements aerobic'!$F$128)</c:f>
              <c:numCache>
                <c:formatCode>General</c:formatCode>
                <c:ptCount val="4"/>
                <c:pt idx="0">
                  <c:v>201.77291297854728</c:v>
                </c:pt>
                <c:pt idx="1">
                  <c:v>2146.8243847888125</c:v>
                </c:pt>
                <c:pt idx="2">
                  <c:v>2787.0839495829928</c:v>
                </c:pt>
                <c:pt idx="3">
                  <c:v>4800.6444509885632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C6-4836-B4E2-600EF9A8A5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63424034021063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aerobic'!$C$17,'6_GC measurements aerobic'!$C$54,'6_GC measurements aerobic'!$C$92,'6_GC measurements aerobic'!$C$129)</c:f>
              <c:numCache>
                <c:formatCode>0.00</c:formatCode>
                <c:ptCount val="4"/>
                <c:pt idx="0">
                  <c:v>0</c:v>
                </c:pt>
                <c:pt idx="1">
                  <c:v>22.599999999976717</c:v>
                </c:pt>
                <c:pt idx="2">
                  <c:v>28.883333333360497</c:v>
                </c:pt>
                <c:pt idx="3">
                  <c:v>46.950000000069849</c:v>
                </c:pt>
              </c:numCache>
            </c:numRef>
          </c:xVal>
          <c:yVal>
            <c:numRef>
              <c:f>('6_GC measurements aerobic'!$F$17,'6_GC measurements aerobic'!$F$54,'6_GC measurements aerobic'!$F$92,'6_GC measurements aerobic'!$F$129)</c:f>
              <c:numCache>
                <c:formatCode>General</c:formatCode>
                <c:ptCount val="4"/>
                <c:pt idx="0">
                  <c:v>162.09929545965463</c:v>
                </c:pt>
                <c:pt idx="1">
                  <c:v>1766.2069908657234</c:v>
                </c:pt>
                <c:pt idx="2">
                  <c:v>2271.4084773137452</c:v>
                </c:pt>
                <c:pt idx="3">
                  <c:v>3839.6702793909744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82-4831-985E-537B78A8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aerobic'!$C$18,'6_GC measurements aerobic'!$C$55,'6_GC measurements aerobic'!$C$93,'6_GC measurements aerobic'!$C$130)</c:f>
              <c:numCache>
                <c:formatCode>0.00</c:formatCode>
                <c:ptCount val="4"/>
                <c:pt idx="0">
                  <c:v>0</c:v>
                </c:pt>
                <c:pt idx="1">
                  <c:v>22.616666666697711</c:v>
                </c:pt>
                <c:pt idx="2">
                  <c:v>28.900000000081491</c:v>
                </c:pt>
                <c:pt idx="3">
                  <c:v>46.916666666802485</c:v>
                </c:pt>
              </c:numCache>
            </c:numRef>
          </c:xVal>
          <c:yVal>
            <c:numRef>
              <c:f>('6_GC measurements aerobic'!$F$18,'6_GC measurements aerobic'!$F$55,'6_GC measurements aerobic'!$F$93,'6_GC measurements aerobic'!$F$130)</c:f>
              <c:numCache>
                <c:formatCode>General</c:formatCode>
                <c:ptCount val="4"/>
                <c:pt idx="0">
                  <c:v>151.77574023331277</c:v>
                </c:pt>
                <c:pt idx="1">
                  <c:v>2342.6996213959428</c:v>
                </c:pt>
                <c:pt idx="2">
                  <c:v>3180.1045566537155</c:v>
                </c:pt>
                <c:pt idx="3">
                  <c:v>5297.7406876204586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1A-41B4-AF78-C067463DF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616432439615934"/>
                  <c:y val="-0.2089620207730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aerobic'!$C$19,'6_GC measurements aerobic'!$C$56,'6_GC measurements aerobic'!$C$94,'6_GC measurements aerobic'!$C$131)</c:f>
              <c:numCache>
                <c:formatCode>0.00</c:formatCode>
                <c:ptCount val="4"/>
                <c:pt idx="0">
                  <c:v>0</c:v>
                </c:pt>
                <c:pt idx="1">
                  <c:v>22.616666666523088</c:v>
                </c:pt>
                <c:pt idx="2">
                  <c:v>28.916666666627862</c:v>
                </c:pt>
                <c:pt idx="3">
                  <c:v>46.949999999895226</c:v>
                </c:pt>
              </c:numCache>
            </c:numRef>
          </c:xVal>
          <c:yVal>
            <c:numRef>
              <c:f>('6_GC measurements aerobic'!$F$19,'6_GC measurements aerobic'!$F$56,'6_GC measurements aerobic'!$F$94,'6_GC measurements aerobic'!$F$131)</c:f>
              <c:numCache>
                <c:formatCode>General</c:formatCode>
                <c:ptCount val="4"/>
                <c:pt idx="0">
                  <c:v>65.773220795602299</c:v>
                </c:pt>
                <c:pt idx="1">
                  <c:v>783.43649151488455</c:v>
                </c:pt>
                <c:pt idx="2">
                  <c:v>998.33362819500644</c:v>
                </c:pt>
                <c:pt idx="3">
                  <c:v>1705.1566202704025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AF-4CB0-8F6E-9C69804DD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21863158130874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aerobic'!$C$20,'6_GC measurements aerobic'!$C$57,'6_GC measurements aerobic'!$C$95,'6_GC measurements aerobic'!$C$132)</c:f>
              <c:numCache>
                <c:formatCode>0.00</c:formatCode>
                <c:ptCount val="4"/>
                <c:pt idx="0">
                  <c:v>0</c:v>
                </c:pt>
                <c:pt idx="1">
                  <c:v>22.616666666697711</c:v>
                </c:pt>
                <c:pt idx="2">
                  <c:v>28.900000000081491</c:v>
                </c:pt>
                <c:pt idx="3">
                  <c:v>46.950000000069849</c:v>
                </c:pt>
              </c:numCache>
            </c:numRef>
          </c:xVal>
          <c:yVal>
            <c:numRef>
              <c:f>('6_GC measurements aerobic'!$F$20,'6_GC measurements aerobic'!$F$57,'6_GC measurements aerobic'!$F$95,'6_GC measurements aerobic'!$F$132)</c:f>
              <c:numCache>
                <c:formatCode>General</c:formatCode>
                <c:ptCount val="4"/>
                <c:pt idx="0">
                  <c:v>117.99580143632653</c:v>
                </c:pt>
                <c:pt idx="1">
                  <c:v>1585.6622859111151</c:v>
                </c:pt>
                <c:pt idx="2">
                  <c:v>2053.9080668055708</c:v>
                </c:pt>
                <c:pt idx="3">
                  <c:v>3531.1425684361266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A2-499C-A8B1-38C2B0E6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82255224426061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aerobic'!$C$21,'6_GC measurements aerobic'!$C$58,'6_GC measurements aerobic'!$C$96,'6_GC measurements aerobic'!$C$133)</c:f>
              <c:numCache>
                <c:formatCode>0.00</c:formatCode>
                <c:ptCount val="4"/>
                <c:pt idx="0">
                  <c:v>0</c:v>
                </c:pt>
                <c:pt idx="1">
                  <c:v>22.633333333418705</c:v>
                </c:pt>
                <c:pt idx="2">
                  <c:v>28.916666666802485</c:v>
                </c:pt>
                <c:pt idx="3">
                  <c:v>46.983333333337214</c:v>
                </c:pt>
              </c:numCache>
            </c:numRef>
          </c:xVal>
          <c:yVal>
            <c:numRef>
              <c:f>('6_GC measurements aerobic'!$F$21,'6_GC measurements aerobic'!$F$58,'6_GC measurements aerobic'!$F$96,'6_GC measurements aerobic'!$F$133)</c:f>
              <c:numCache>
                <c:formatCode>General</c:formatCode>
                <c:ptCount val="4"/>
                <c:pt idx="0">
                  <c:v>99.182582916775047</c:v>
                </c:pt>
                <c:pt idx="1">
                  <c:v>1271.8252832628789</c:v>
                </c:pt>
                <c:pt idx="2">
                  <c:v>1620.680393553331</c:v>
                </c:pt>
                <c:pt idx="3">
                  <c:v>2855.3256106714957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43B-49FD-9242-4F4AC8948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09897338782018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aerobic'!$C$22,'6_GC measurements aerobic'!$C$59,'6_GC measurements aerobic'!$C$97,'6_GC measurements aerobic'!$C$134)</c:f>
              <c:numCache>
                <c:formatCode>0.00</c:formatCode>
                <c:ptCount val="4"/>
                <c:pt idx="0">
                  <c:v>0</c:v>
                </c:pt>
                <c:pt idx="1">
                  <c:v>22.633333333418705</c:v>
                </c:pt>
                <c:pt idx="2">
                  <c:v>28.983333333337214</c:v>
                </c:pt>
                <c:pt idx="3">
                  <c:v>47.000000000058208</c:v>
                </c:pt>
              </c:numCache>
            </c:numRef>
          </c:xVal>
          <c:yVal>
            <c:numRef>
              <c:f>('6_GC measurements aerobic'!$F$22,'6_GC measurements aerobic'!$F$59,'6_GC measurements aerobic'!$F$97,'6_GC measurements aerobic'!$F$134)</c:f>
              <c:numCache>
                <c:formatCode>General</c:formatCode>
                <c:ptCount val="4"/>
                <c:pt idx="0">
                  <c:v>147.4018641463787</c:v>
                </c:pt>
                <c:pt idx="1">
                  <c:v>1897.2512495571605</c:v>
                </c:pt>
                <c:pt idx="2">
                  <c:v>2304.7001243346785</c:v>
                </c:pt>
                <c:pt idx="3">
                  <c:v>4068.111054467865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DB-4D79-B095-11846479F4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246287252068177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aerobic'!$C$23,'6_GC measurements aerobic'!$C$60,'6_GC measurements aerobic'!$C$98,'6_GC measurements aerobic'!$C$135)</c:f>
              <c:numCache>
                <c:formatCode>0.00</c:formatCode>
                <c:ptCount val="4"/>
                <c:pt idx="0">
                  <c:v>0</c:v>
                </c:pt>
                <c:pt idx="1">
                  <c:v>22.616666666697711</c:v>
                </c:pt>
                <c:pt idx="2">
                  <c:v>29.100000000034925</c:v>
                </c:pt>
                <c:pt idx="3">
                  <c:v>47.116666666755918</c:v>
                </c:pt>
              </c:numCache>
            </c:numRef>
          </c:xVal>
          <c:yVal>
            <c:numRef>
              <c:f>('6_GC measurements aerobic'!$F$23,'6_GC measurements aerobic'!$F$60,'6_GC measurements aerobic'!$F$98,'6_GC measurements aerobic'!$F$135)</c:f>
              <c:numCache>
                <c:formatCode>General</c:formatCode>
                <c:ptCount val="4"/>
                <c:pt idx="0">
                  <c:v>260.87624056965882</c:v>
                </c:pt>
                <c:pt idx="1">
                  <c:v>3017.0834997882621</c:v>
                </c:pt>
                <c:pt idx="2">
                  <c:v>3693.719691230905</c:v>
                </c:pt>
                <c:pt idx="3">
                  <c:v>6065.3350687779002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CD-4C63-BAC8-892CE467D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1756204525068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aerobic'!$C$24,'6_GC measurements aerobic'!$C$61,'6_GC measurements aerobic'!$C$99,'6_GC measurements aerobic'!$C$136)</c:f>
              <c:numCache>
                <c:formatCode>0.00</c:formatCode>
                <c:ptCount val="4"/>
                <c:pt idx="0">
                  <c:v>0</c:v>
                </c:pt>
                <c:pt idx="1">
                  <c:v>22.633333333418705</c:v>
                </c:pt>
                <c:pt idx="2">
                  <c:v>28.983333333337214</c:v>
                </c:pt>
                <c:pt idx="3">
                  <c:v>47.266666666720994</c:v>
                </c:pt>
              </c:numCache>
            </c:numRef>
          </c:xVal>
          <c:yVal>
            <c:numRef>
              <c:f>('6_GC measurements aerobic'!$F$24,'6_GC measurements aerobic'!$F$61,'6_GC measurements aerobic'!$F$99,'6_GC measurements aerobic'!$F$136)</c:f>
              <c:numCache>
                <c:formatCode>General</c:formatCode>
                <c:ptCount val="4"/>
                <c:pt idx="0">
                  <c:v>57.062964553452446</c:v>
                </c:pt>
                <c:pt idx="1">
                  <c:v>653.28996457019662</c:v>
                </c:pt>
                <c:pt idx="2">
                  <c:v>806.53790690968754</c:v>
                </c:pt>
                <c:pt idx="3">
                  <c:v>1460.9589769077852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83-45C5-BF02-2E8F868E2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91640918302933"/>
                  <c:y val="-0.21703703703703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aerobic'!$C$25,'6_GC measurements aerobic'!$C$62,'6_GC measurements aerobic'!$C$100,'6_GC measurements aerobic'!$C$137)</c:f>
              <c:numCache>
                <c:formatCode>0.00</c:formatCode>
                <c:ptCount val="4"/>
                <c:pt idx="0">
                  <c:v>0</c:v>
                </c:pt>
                <c:pt idx="1">
                  <c:v>22.616666666697711</c:v>
                </c:pt>
                <c:pt idx="2">
                  <c:v>29.033333333325572</c:v>
                </c:pt>
                <c:pt idx="3">
                  <c:v>47.133333333302289</c:v>
                </c:pt>
              </c:numCache>
            </c:numRef>
          </c:xVal>
          <c:yVal>
            <c:numRef>
              <c:f>('6_GC measurements aerobic'!$F$25,'6_GC measurements aerobic'!$F$62,'6_GC measurements aerobic'!$F$100,'6_GC measurements aerobic'!$F$137)</c:f>
              <c:numCache>
                <c:formatCode>General</c:formatCode>
                <c:ptCount val="4"/>
                <c:pt idx="0">
                  <c:v>95.278623376700395</c:v>
                </c:pt>
                <c:pt idx="1">
                  <c:v>1009.3472541717042</c:v>
                </c:pt>
                <c:pt idx="2">
                  <c:v>1331.8354324365987</c:v>
                </c:pt>
                <c:pt idx="3">
                  <c:v>2290.9388212199469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4C3-4574-8621-D84796FCF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469218246453371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aerobic'!$C$26,'6_GC measurements aerobic'!$C$63,'6_GC measurements aerobic'!$C$101,'6_GC measurements aerobic'!$C$138)</c:f>
              <c:numCache>
                <c:formatCode>0.00</c:formatCode>
                <c:ptCount val="4"/>
                <c:pt idx="0">
                  <c:v>0</c:v>
                </c:pt>
                <c:pt idx="1">
                  <c:v>22.633333333418705</c:v>
                </c:pt>
                <c:pt idx="2">
                  <c:v>29.050000000046566</c:v>
                </c:pt>
                <c:pt idx="3">
                  <c:v>47.216666666732635</c:v>
                </c:pt>
              </c:numCache>
            </c:numRef>
          </c:xVal>
          <c:yVal>
            <c:numRef>
              <c:f>('6_GC measurements aerobic'!$F$26,'6_GC measurements aerobic'!$F$63,'6_GC measurements aerobic'!$F$101,'6_GC measurements aerobic'!$F$138)</c:f>
              <c:numCache>
                <c:formatCode>General</c:formatCode>
                <c:ptCount val="4"/>
                <c:pt idx="0">
                  <c:v>98.945433322660492</c:v>
                </c:pt>
                <c:pt idx="1">
                  <c:v>1055.3291113365619</c:v>
                </c:pt>
                <c:pt idx="2">
                  <c:v>1357.4262934790559</c:v>
                </c:pt>
                <c:pt idx="3">
                  <c:v>2296.5235460875092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62-45E4-967E-7A25CF523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886806870660155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aerobic'!$C$27,'6_GC measurements aerobic'!$C$64,'6_GC measurements aerobic'!$C$102,'6_GC measurements aerobic'!$C$139)</c:f>
              <c:numCache>
                <c:formatCode>0.00</c:formatCode>
                <c:ptCount val="4"/>
                <c:pt idx="0">
                  <c:v>0</c:v>
                </c:pt>
                <c:pt idx="1">
                  <c:v>23.616666666814126</c:v>
                </c:pt>
                <c:pt idx="2">
                  <c:v>30.033333333441988</c:v>
                </c:pt>
                <c:pt idx="3">
                  <c:v>48.216666666674428</c:v>
                </c:pt>
              </c:numCache>
            </c:numRef>
          </c:xVal>
          <c:yVal>
            <c:numRef>
              <c:f>('6_GC measurements aerobic'!$F$27,'6_GC measurements aerobic'!$F$64,'6_GC measurements aerobic'!$F$102,'6_GC measurements aerobic'!$F$139)</c:f>
              <c:numCache>
                <c:formatCode>General</c:formatCode>
                <c:ptCount val="4"/>
                <c:pt idx="0">
                  <c:v>157.72347153211183</c:v>
                </c:pt>
                <c:pt idx="1">
                  <c:v>1687.7570142919571</c:v>
                </c:pt>
                <c:pt idx="2">
                  <c:v>2179.3110014639146</c:v>
                </c:pt>
                <c:pt idx="3">
                  <c:v>3576.148992667313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7D-4FEF-B52A-0BB9CF82ED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2131300043190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aerobic'!$C$28,'6_GC measurements aerobic'!$C$65,'6_GC measurements aerobic'!$C$103,'6_GC measurements aerobic'!$C$140)</c:f>
              <c:numCache>
                <c:formatCode>0.00</c:formatCode>
                <c:ptCount val="4"/>
                <c:pt idx="0">
                  <c:v>0</c:v>
                </c:pt>
                <c:pt idx="1">
                  <c:v>22.733333333220799</c:v>
                </c:pt>
                <c:pt idx="2">
                  <c:v>29.033333333325572</c:v>
                </c:pt>
                <c:pt idx="3">
                  <c:v>47.25</c:v>
                </c:pt>
              </c:numCache>
            </c:numRef>
          </c:xVal>
          <c:yVal>
            <c:numRef>
              <c:f>('6_GC measurements aerobic'!$F$28,'6_GC measurements aerobic'!$F$65,'6_GC measurements aerobic'!$F$103,'6_GC measurements aerobic'!$F$140)</c:f>
              <c:numCache>
                <c:formatCode>General</c:formatCode>
                <c:ptCount val="4"/>
                <c:pt idx="0">
                  <c:v>154.62056144238301</c:v>
                </c:pt>
                <c:pt idx="1">
                  <c:v>1577.7969316299357</c:v>
                </c:pt>
                <c:pt idx="2">
                  <c:v>2389.5225982783168</c:v>
                </c:pt>
                <c:pt idx="3">
                  <c:v>4078.337016230736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1E-46E7-BF93-0169A6DDAC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721685105817467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aerobic'!$C$29,'6_GC measurements aerobic'!$C$66,'6_GC measurements aerobic'!$C$104,'6_GC measurements aerobic'!$C$141)</c:f>
              <c:numCache>
                <c:formatCode>0.00</c:formatCode>
                <c:ptCount val="4"/>
                <c:pt idx="0">
                  <c:v>0</c:v>
                </c:pt>
                <c:pt idx="1">
                  <c:v>22.699999999953434</c:v>
                </c:pt>
                <c:pt idx="2">
                  <c:v>28.999999999883585</c:v>
                </c:pt>
                <c:pt idx="3">
                  <c:v>47.216666666558012</c:v>
                </c:pt>
              </c:numCache>
            </c:numRef>
          </c:xVal>
          <c:yVal>
            <c:numRef>
              <c:f>('6_GC measurements aerobic'!$F$29,'6_GC measurements aerobic'!$F$66,'6_GC measurements aerobic'!$F$104,'6_GC measurements aerobic'!$F$141)</c:f>
              <c:numCache>
                <c:formatCode>General</c:formatCode>
                <c:ptCount val="4"/>
                <c:pt idx="0">
                  <c:v>125.32893436809455</c:v>
                </c:pt>
                <c:pt idx="1">
                  <c:v>1376.6020779780179</c:v>
                </c:pt>
                <c:pt idx="2">
                  <c:v>1754.3227739057586</c:v>
                </c:pt>
                <c:pt idx="3">
                  <c:v>3016.0762436259961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50-48F6-8556-FAF160371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aerobic'!$C$30,'6_GC measurements aerobic'!$C$67,'6_GC measurements aerobic'!$C$105,'6_GC measurements aerobic'!$C$142)</c:f>
              <c:numCache>
                <c:formatCode>0.00</c:formatCode>
                <c:ptCount val="4"/>
                <c:pt idx="0">
                  <c:v>0</c:v>
                </c:pt>
                <c:pt idx="1">
                  <c:v>22.699999999953434</c:v>
                </c:pt>
                <c:pt idx="2">
                  <c:v>29.066666666592937</c:v>
                </c:pt>
                <c:pt idx="3">
                  <c:v>47.233333333279006</c:v>
                </c:pt>
              </c:numCache>
            </c:numRef>
          </c:xVal>
          <c:yVal>
            <c:numRef>
              <c:f>('6_GC measurements aerobic'!$F$30,'6_GC measurements aerobic'!$F$67,'6_GC measurements aerobic'!$F$105,'6_GC measurements aerobic'!$F$142)</c:f>
              <c:numCache>
                <c:formatCode>General</c:formatCode>
                <c:ptCount val="4"/>
                <c:pt idx="0">
                  <c:v>106.48942000032503</c:v>
                </c:pt>
                <c:pt idx="1">
                  <c:v>1294.2157146283448</c:v>
                </c:pt>
                <c:pt idx="2">
                  <c:v>1664.6009255196327</c:v>
                </c:pt>
                <c:pt idx="3">
                  <c:v>2864.7600141254902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F1-43A8-80CB-1A309C3E8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39174058938836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aerobic'!$C$31,'6_GC measurements aerobic'!$C$68,'6_GC measurements aerobic'!$C$106,'6_GC measurements aerobic'!$C$143)</c:f>
              <c:numCache>
                <c:formatCode>0.00</c:formatCode>
                <c:ptCount val="4"/>
                <c:pt idx="0">
                  <c:v>0</c:v>
                </c:pt>
                <c:pt idx="1">
                  <c:v>22.716666666674428</c:v>
                </c:pt>
                <c:pt idx="2">
                  <c:v>29.083333333313931</c:v>
                </c:pt>
                <c:pt idx="3">
                  <c:v>47.25</c:v>
                </c:pt>
              </c:numCache>
            </c:numRef>
          </c:xVal>
          <c:yVal>
            <c:numRef>
              <c:f>('6_GC measurements aerobic'!$F$31,'6_GC measurements aerobic'!$F$68,'6_GC measurements aerobic'!$F$106,'6_GC measurements aerobic'!$F$143)</c:f>
              <c:numCache>
                <c:formatCode>General</c:formatCode>
                <c:ptCount val="4"/>
                <c:pt idx="0">
                  <c:v>184.64603746601568</c:v>
                </c:pt>
                <c:pt idx="1">
                  <c:v>2130.9049485296941</c:v>
                </c:pt>
                <c:pt idx="2">
                  <c:v>2877.4116115484753</c:v>
                </c:pt>
                <c:pt idx="3">
                  <c:v>4868.7208468946483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D-4BE2-A7A5-08A92A591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aerobic'!$C$32,'6_GC measurements aerobic'!$C$69,'6_GC measurements aerobic'!$C$107,'6_GC measurements aerobic'!$C$144)</c:f>
              <c:numCache>
                <c:formatCode>0.00</c:formatCode>
                <c:ptCount val="4"/>
                <c:pt idx="0">
                  <c:v>0</c:v>
                </c:pt>
                <c:pt idx="1">
                  <c:v>22.699999999953434</c:v>
                </c:pt>
                <c:pt idx="2">
                  <c:v>29.066666666592937</c:v>
                </c:pt>
                <c:pt idx="3">
                  <c:v>47.266666666546371</c:v>
                </c:pt>
              </c:numCache>
            </c:numRef>
          </c:xVal>
          <c:yVal>
            <c:numRef>
              <c:f>('6_GC measurements aerobic'!$F$32,'6_GC measurements aerobic'!$F$69,'6_GC measurements aerobic'!$F$107,'6_GC measurements aerobic'!$F$144)</c:f>
              <c:numCache>
                <c:formatCode>General</c:formatCode>
                <c:ptCount val="4"/>
                <c:pt idx="0">
                  <c:v>117.89597460512842</c:v>
                </c:pt>
                <c:pt idx="1">
                  <c:v>1211.4458677277619</c:v>
                </c:pt>
                <c:pt idx="2">
                  <c:v>1579.5988983374589</c:v>
                </c:pt>
                <c:pt idx="3">
                  <c:v>2769.5615538297538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60-4EBB-A2E8-95CB4A0B5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98305591547892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aerobic'!$C$33,'6_GC measurements aerobic'!$C$70,'6_GC measurements aerobic'!$C$108,'6_GC measurements aerobic'!$C$145)</c:f>
              <c:numCache>
                <c:formatCode>0.00</c:formatCode>
                <c:ptCount val="4"/>
                <c:pt idx="0">
                  <c:v>0</c:v>
                </c:pt>
                <c:pt idx="1">
                  <c:v>22.699999999953434</c:v>
                </c:pt>
                <c:pt idx="2">
                  <c:v>29.083333333313931</c:v>
                </c:pt>
                <c:pt idx="3">
                  <c:v>47.283333333267365</c:v>
                </c:pt>
              </c:numCache>
            </c:numRef>
          </c:xVal>
          <c:yVal>
            <c:numRef>
              <c:f>('6_GC measurements aerobic'!$F$33,'6_GC measurements aerobic'!$F$70,'6_GC measurements aerobic'!$F$108,'6_GC measurements aerobic'!$F$145)</c:f>
              <c:numCache>
                <c:formatCode>General</c:formatCode>
                <c:ptCount val="4"/>
                <c:pt idx="0">
                  <c:v>125.272446990441</c:v>
                </c:pt>
                <c:pt idx="1">
                  <c:v>1319.8441939212646</c:v>
                </c:pt>
                <c:pt idx="2">
                  <c:v>1684.9066346044456</c:v>
                </c:pt>
                <c:pt idx="3">
                  <c:v>2827.8068145903303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A2-47E4-859F-F7D827DB0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795773945978271"/>
                  <c:y val="-0.18284900284900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aerobic'!$C$34,'6_GC measurements aerobic'!$C$71,'6_GC measurements aerobic'!$C$109,'6_GC measurements aerobic'!$C$146)</c:f>
              <c:numCache>
                <c:formatCode>0.00</c:formatCode>
                <c:ptCount val="4"/>
                <c:pt idx="0">
                  <c:v>0</c:v>
                </c:pt>
                <c:pt idx="1">
                  <c:v>22.700000000128057</c:v>
                </c:pt>
                <c:pt idx="2">
                  <c:v>29.06666666676756</c:v>
                </c:pt>
                <c:pt idx="3">
                  <c:v>47.283333333441988</c:v>
                </c:pt>
              </c:numCache>
            </c:numRef>
          </c:xVal>
          <c:yVal>
            <c:numRef>
              <c:f>('6_GC measurements aerobic'!$F$34,'6_GC measurements aerobic'!$F$71,'6_GC measurements aerobic'!$F$109,'6_GC measurements aerobic'!$F$146)</c:f>
              <c:numCache>
                <c:formatCode>General</c:formatCode>
                <c:ptCount val="4"/>
                <c:pt idx="0">
                  <c:v>119.87498066361205</c:v>
                </c:pt>
                <c:pt idx="1">
                  <c:v>1237.6613968096201</c:v>
                </c:pt>
                <c:pt idx="2">
                  <c:v>1629.790934402009</c:v>
                </c:pt>
                <c:pt idx="3">
                  <c:v>2715.4260142769367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7E-49A9-8934-7841F5652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661822287347766E-2"/>
                  <c:y val="-0.21839785358374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('6_GC measurements aerobic'!$C$35,'6_GC measurements aerobic'!$C$72,'6_GC measurements aerobic'!$C$110,'6_GC measurements aerobic'!$C$147)</c:f>
              <c:numCache>
                <c:formatCode>0.00</c:formatCode>
                <c:ptCount val="4"/>
                <c:pt idx="0">
                  <c:v>0</c:v>
                </c:pt>
                <c:pt idx="1">
                  <c:v>22.699999999953434</c:v>
                </c:pt>
                <c:pt idx="2">
                  <c:v>29.116666666581295</c:v>
                </c:pt>
                <c:pt idx="3">
                  <c:v>47.299999999988358</c:v>
                </c:pt>
              </c:numCache>
            </c:numRef>
          </c:xVal>
          <c:yVal>
            <c:numRef>
              <c:f>('6_GC measurements aerobic'!$F$35,'6_GC measurements aerobic'!$F$72,'6_GC measurements aerobic'!$F$110,'6_GC measurements aerobic'!$F$147)</c:f>
              <c:numCache>
                <c:formatCode>General</c:formatCode>
                <c:ptCount val="4"/>
                <c:pt idx="0">
                  <c:v>100.50662757056861</c:v>
                </c:pt>
                <c:pt idx="1">
                  <c:v>1108.7144731856145</c:v>
                </c:pt>
                <c:pt idx="2">
                  <c:v>1452.756203891068</c:v>
                </c:pt>
                <c:pt idx="3">
                  <c:v>2461.6796630113899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00-4309-8B61-C45DEE496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3.5644646753087643E-2"/>
                  <c:y val="-0.1764203117144293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anaerobic'!$N$13:$N$16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'7_GC measurements anaerobic'!$O$13:$O$16</c:f>
              <c:numCache>
                <c:formatCode>General</c:formatCode>
                <c:ptCount val="4"/>
                <c:pt idx="0">
                  <c:v>0</c:v>
                </c:pt>
                <c:pt idx="1">
                  <c:v>823.84799999999996</c:v>
                </c:pt>
                <c:pt idx="2">
                  <c:v>3064.5768333333331</c:v>
                </c:pt>
                <c:pt idx="3">
                  <c:v>8446.3405000000002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68-451E-BAE0-6F8BC3D3C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anaerobic'!$N$13:$N$16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'7_GC measurements anaerobic'!$O$56:$O$59</c:f>
              <c:numCache>
                <c:formatCode>General</c:formatCode>
                <c:ptCount val="4"/>
                <c:pt idx="0">
                  <c:v>0</c:v>
                </c:pt>
                <c:pt idx="1">
                  <c:v>771.88183333333336</c:v>
                </c:pt>
                <c:pt idx="2">
                  <c:v>3055.7192499999996</c:v>
                </c:pt>
                <c:pt idx="3">
                  <c:v>8282.4380000000001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4E-487F-9B28-A5E3F2E0A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4.4621307435313853E-2"/>
                  <c:y val="-0.1663650075414781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anaerobic'!$N$13:$N$16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'7_GC measurements anaerobic'!$O$98:$O$101</c:f>
              <c:numCache>
                <c:formatCode>General</c:formatCode>
                <c:ptCount val="4"/>
                <c:pt idx="0">
                  <c:v>0</c:v>
                </c:pt>
                <c:pt idx="1">
                  <c:v>867.78375000000005</c:v>
                </c:pt>
                <c:pt idx="2">
                  <c:v>3231.2345</c:v>
                </c:pt>
                <c:pt idx="3">
                  <c:v>8743.8726666666662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19-44F4-95AE-B2CA6888C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A29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121354061511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anaerobic'!$C$8,'7_GC measurements anaerobic'!$C$49,'7_GC measurements anaerobic'!$C$133)</c:f>
              <c:numCache>
                <c:formatCode>0.00</c:formatCode>
                <c:ptCount val="3"/>
                <c:pt idx="0">
                  <c:v>0</c:v>
                </c:pt>
                <c:pt idx="1">
                  <c:v>66.199999999953434</c:v>
                </c:pt>
                <c:pt idx="2">
                  <c:v>160.91666666662786</c:v>
                </c:pt>
              </c:numCache>
            </c:numRef>
          </c:xVal>
          <c:yVal>
            <c:numRef>
              <c:f>('7_GC measurements anaerobic'!$F$8,'7_GC measurements anaerobic'!$F$49,'7_GC measurements anaerobic'!$F$133)</c:f>
              <c:numCache>
                <c:formatCode>General</c:formatCode>
                <c:ptCount val="3"/>
                <c:pt idx="0">
                  <c:v>39.364240219593363</c:v>
                </c:pt>
                <c:pt idx="1">
                  <c:v>395.16581995012052</c:v>
                </c:pt>
                <c:pt idx="2">
                  <c:v>965.47145411434906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v>A29</c:v>
                </c15:tx>
              </c15:filteredSeriesTitle>
            </c:ext>
            <c:ext xmlns:c16="http://schemas.microsoft.com/office/drawing/2014/chart" uri="{C3380CC4-5D6E-409C-BE32-E72D297353CC}">
              <c16:uniqueId val="{00000001-D3B2-4376-B9F6-78C7CEEE7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7.9439653978304742E-2"/>
                  <c:y val="-0.18514676749889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anaerobic'!$N$13:$N$16</c:f>
              <c:numCache>
                <c:formatCode>General</c:formatCode>
                <c:ptCount val="4"/>
                <c:pt idx="0">
                  <c:v>0</c:v>
                </c:pt>
                <c:pt idx="1">
                  <c:v>895</c:v>
                </c:pt>
                <c:pt idx="2">
                  <c:v>3000</c:v>
                </c:pt>
                <c:pt idx="3">
                  <c:v>7981</c:v>
                </c:pt>
              </c:numCache>
            </c:numRef>
          </c:xVal>
          <c:yVal>
            <c:numRef>
              <c:f>'7_GC measurements anaerobic'!$O$140:$O$143</c:f>
              <c:numCache>
                <c:formatCode>General</c:formatCode>
                <c:ptCount val="4"/>
                <c:pt idx="0">
                  <c:v>0</c:v>
                </c:pt>
                <c:pt idx="1">
                  <c:v>850.51466666666659</c:v>
                </c:pt>
                <c:pt idx="2">
                  <c:v>3172.3201666666664</c:v>
                </c:pt>
                <c:pt idx="3">
                  <c:v>8625.3821666666681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65-4F1F-BEEB-3BDA1B562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anaerobic'!$N$158:$N$161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'7_GC measurements anaerobic'!$O$158:$O$161</c:f>
              <c:numCache>
                <c:formatCode>General</c:formatCode>
                <c:ptCount val="4"/>
                <c:pt idx="0">
                  <c:v>0</c:v>
                </c:pt>
                <c:pt idx="1">
                  <c:v>16.359833333333331</c:v>
                </c:pt>
                <c:pt idx="2">
                  <c:v>215.75725</c:v>
                </c:pt>
                <c:pt idx="3">
                  <c:v>7330.2815000000001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37-496A-85DE-DE5045E1F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8475461817483"/>
                  <c:y val="-0.20438009257999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anaerobic'!$C$9,'7_GC measurements anaerobic'!$C$50,'7_GC measurements anaerobic'!$C$134)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160.91666666662786</c:v>
                </c:pt>
              </c:numCache>
            </c:numRef>
          </c:xVal>
          <c:yVal>
            <c:numRef>
              <c:f>('7_GC measurements anaerobic'!$F$9,'7_GC measurements anaerobic'!$F$50,'7_GC measurements anaerobic'!$F$134)</c:f>
              <c:numCache>
                <c:formatCode>General</c:formatCode>
                <c:ptCount val="3"/>
                <c:pt idx="0">
                  <c:v>20.710343751676799</c:v>
                </c:pt>
                <c:pt idx="1">
                  <c:v>266.58431715224606</c:v>
                </c:pt>
                <c:pt idx="2">
                  <c:v>633.53397478922398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12-4D02-8826-1BB47FBD7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91900063125013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anaerobic'!$C$10,'7_GC measurements anaerobic'!$C$51,'7_GC measurements anaerobic'!$C$135)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160.89999999990687</c:v>
                </c:pt>
              </c:numCache>
            </c:numRef>
          </c:xVal>
          <c:yVal>
            <c:numRef>
              <c:f>('7_GC measurements anaerobic'!$F$10,'7_GC measurements anaerobic'!$F$51,'7_GC measurements anaerobic'!$F$135)</c:f>
              <c:numCache>
                <c:formatCode>General</c:formatCode>
                <c:ptCount val="3"/>
                <c:pt idx="0">
                  <c:v>45.301709086938061</c:v>
                </c:pt>
                <c:pt idx="1">
                  <c:v>365.82835696883564</c:v>
                </c:pt>
                <c:pt idx="2">
                  <c:v>724.14353615711673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5-4401-BF84-F77692BEC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581846572975845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anaerobic'!$C$11,'7_GC measurements anaerobic'!$C$52,'7_GC measurements anaerobic'!$C$136)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anaerobic'!$F$11,'7_GC measurements anaerobic'!$F$52,'7_GC measurements anaerobic'!$F$136)</c:f>
              <c:numCache>
                <c:formatCode>General</c:formatCode>
                <c:ptCount val="3"/>
                <c:pt idx="0">
                  <c:v>43.558860510960123</c:v>
                </c:pt>
                <c:pt idx="1">
                  <c:v>514.64821482180639</c:v>
                </c:pt>
                <c:pt idx="2">
                  <c:v>1276.1699660467232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6C-4DF2-BFF1-8608F01EC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864546994916777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anaerobic'!$C$12,'7_GC measurements anaerobic'!$C$53,'7_GC measurements anaerobic'!$C$137)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160.91666666662786</c:v>
                </c:pt>
              </c:numCache>
            </c:numRef>
          </c:xVal>
          <c:yVal>
            <c:numRef>
              <c:f>('7_GC measurements anaerobic'!$F$12,'7_GC measurements anaerobic'!$F$53,'7_GC measurements anaerobic'!$F$137)</c:f>
              <c:numCache>
                <c:formatCode>General</c:formatCode>
                <c:ptCount val="3"/>
                <c:pt idx="0">
                  <c:v>40.418121937564756</c:v>
                </c:pt>
                <c:pt idx="1">
                  <c:v>528.35009352690599</c:v>
                </c:pt>
                <c:pt idx="2">
                  <c:v>1299.5966501962394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21-4344-B107-4E083F971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3496691118738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anaerobic'!$C$13,'7_GC measurements anaerobic'!$C$54,'7_GC measurements anaerobic'!$C$138)</c:f>
              <c:numCache>
                <c:formatCode>0.00</c:formatCode>
                <c:ptCount val="3"/>
                <c:pt idx="0">
                  <c:v>0</c:v>
                </c:pt>
                <c:pt idx="1">
                  <c:v>66.416666666627862</c:v>
                </c:pt>
                <c:pt idx="2">
                  <c:v>160.89999999990687</c:v>
                </c:pt>
              </c:numCache>
            </c:numRef>
          </c:xVal>
          <c:yVal>
            <c:numRef>
              <c:f>('7_GC measurements anaerobic'!$F$13,'7_GC measurements anaerobic'!$F$54,'7_GC measurements anaerobic'!$F$138)</c:f>
              <c:numCache>
                <c:formatCode>General</c:formatCode>
                <c:ptCount val="3"/>
                <c:pt idx="0">
                  <c:v>25.622915024042101</c:v>
                </c:pt>
                <c:pt idx="1">
                  <c:v>405.163808274377</c:v>
                </c:pt>
                <c:pt idx="2">
                  <c:v>979.98005721717811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66-49E1-8B94-63AED022C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727598923552276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anaerobic'!$C$14,'7_GC measurements anaerobic'!$C$55,'7_GC measurements anaerobic'!$C$139)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anaerobic'!$F$14,'7_GC measurements anaerobic'!$F$55,'7_GC measurements anaerobic'!$F$139)</c:f>
              <c:numCache>
                <c:formatCode>General</c:formatCode>
                <c:ptCount val="3"/>
                <c:pt idx="0">
                  <c:v>17.486454005763402</c:v>
                </c:pt>
                <c:pt idx="1">
                  <c:v>105.38477657260363</c:v>
                </c:pt>
                <c:pt idx="2">
                  <c:v>247.6811217362212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E0-4EC8-8F3F-6C83B1F58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024053955280916"/>
                  <c:y val="-0.18854700854700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anaerobic'!$C$15,'7_GC measurements anaerobic'!$C$56,'7_GC measurements anaerobic'!$C$140)</c:f>
              <c:numCache>
                <c:formatCode>0.00</c:formatCode>
                <c:ptCount val="3"/>
                <c:pt idx="0">
                  <c:v>0</c:v>
                </c:pt>
                <c:pt idx="1">
                  <c:v>66.233333333395422</c:v>
                </c:pt>
                <c:pt idx="2">
                  <c:v>160.91666666662786</c:v>
                </c:pt>
              </c:numCache>
            </c:numRef>
          </c:xVal>
          <c:yVal>
            <c:numRef>
              <c:f>('7_GC measurements anaerobic'!$F$15,'7_GC measurements anaerobic'!$F$56,'7_GC measurements anaerobic'!$F$140)</c:f>
              <c:numCache>
                <c:formatCode>General</c:formatCode>
                <c:ptCount val="3"/>
                <c:pt idx="0">
                  <c:v>19.970535891044939</c:v>
                </c:pt>
                <c:pt idx="1">
                  <c:v>175.49212594030769</c:v>
                </c:pt>
                <c:pt idx="2">
                  <c:v>444.91145133452488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F1-40E7-9339-CC0BB64E1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6485265291205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anaerobic'!$C$16,'7_GC measurements anaerobic'!$C$57,'7_GC measurements anaerobic'!$C$141)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anaerobic'!$F$16,'7_GC measurements anaerobic'!$F$57,'7_GC measurements anaerobic'!$F$141)</c:f>
              <c:numCache>
                <c:formatCode>General</c:formatCode>
                <c:ptCount val="3"/>
                <c:pt idx="0">
                  <c:v>21.543280925528851</c:v>
                </c:pt>
                <c:pt idx="1">
                  <c:v>268.51173346328051</c:v>
                </c:pt>
                <c:pt idx="2">
                  <c:v>677.46109774481238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EB-455A-92E5-F2346B151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63424034021063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anaerobic'!$C$17,'7_GC measurements anaerobic'!$C$58,'7_GC measurements anaerobic'!$C$142)</c:f>
              <c:numCache>
                <c:formatCode>0.00</c:formatCode>
                <c:ptCount val="3"/>
                <c:pt idx="0">
                  <c:v>0</c:v>
                </c:pt>
                <c:pt idx="1">
                  <c:v>66.233333333395422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anaerobic'!$F$17,'7_GC measurements anaerobic'!$F$58,'7_GC measurements anaerobic'!$F$142)</c:f>
              <c:numCache>
                <c:formatCode>General</c:formatCode>
                <c:ptCount val="3"/>
                <c:pt idx="0">
                  <c:v>61.48245210938974</c:v>
                </c:pt>
                <c:pt idx="1">
                  <c:v>921.96101487670921</c:v>
                </c:pt>
                <c:pt idx="2">
                  <c:v>2528.0739264620884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4D-46BE-AC5E-E200BCF7B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anaerobic'!$C$18,'7_GC measurements anaerobic'!$C$59,'7_GC measurements anaerobic'!$C$143)</c:f>
              <c:numCache>
                <c:formatCode>0.00</c:formatCode>
                <c:ptCount val="3"/>
                <c:pt idx="0">
                  <c:v>0</c:v>
                </c:pt>
                <c:pt idx="1">
                  <c:v>66.150000000139698</c:v>
                </c:pt>
                <c:pt idx="2">
                  <c:v>160.91666666680248</c:v>
                </c:pt>
              </c:numCache>
            </c:numRef>
          </c:xVal>
          <c:yVal>
            <c:numRef>
              <c:f>('7_GC measurements anaerobic'!$F$18,'7_GC measurements anaerobic'!$F$59,'7_GC measurements anaerobic'!$F$143)</c:f>
              <c:numCache>
                <c:formatCode>General</c:formatCode>
                <c:ptCount val="3"/>
                <c:pt idx="0">
                  <c:v>22.915987996412237</c:v>
                </c:pt>
                <c:pt idx="1">
                  <c:v>255.91869968410725</c:v>
                </c:pt>
                <c:pt idx="2">
                  <c:v>589.92455847092401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64-4CB9-9E64-E76C44AE2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032587459062993"/>
                  <c:y val="-0.6193798529390771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anaerobic'!$C$19,'7_GC measurements anaerobic'!$C$60,'7_GC measurements anaerobic'!$C$144)</c:f>
              <c:numCache>
                <c:formatCode>0.00</c:formatCode>
                <c:ptCount val="3"/>
                <c:pt idx="0">
                  <c:v>0</c:v>
                </c:pt>
                <c:pt idx="1">
                  <c:v>66.266666666662786</c:v>
                </c:pt>
                <c:pt idx="2">
                  <c:v>160.91666666662786</c:v>
                </c:pt>
              </c:numCache>
            </c:numRef>
          </c:xVal>
          <c:yVal>
            <c:numRef>
              <c:f>('7_GC measurements anaerobic'!$F$19,'7_GC measurements anaerobic'!$F$60,'7_GC measurements anaerobic'!$F$144)</c:f>
              <c:numCache>
                <c:formatCode>General</c:formatCode>
                <c:ptCount val="3"/>
                <c:pt idx="0">
                  <c:v>28.976045449526374</c:v>
                </c:pt>
                <c:pt idx="1">
                  <c:v>673.3451136903592</c:v>
                </c:pt>
                <c:pt idx="2">
                  <c:v>1422.9374269390253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A9-42B0-A0AD-E02CAFCE5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21863158130874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anaerobic'!$C$20,'7_GC measurements anaerobic'!$C$61,'7_GC measurements anaerobic'!$C$145)</c:f>
              <c:numCache>
                <c:formatCode>0.00</c:formatCode>
                <c:ptCount val="3"/>
                <c:pt idx="0">
                  <c:v>0</c:v>
                </c:pt>
                <c:pt idx="1">
                  <c:v>66.299999999930151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anaerobic'!$F$20,'7_GC measurements anaerobic'!$F$61,'7_GC measurements anaerobic'!$F$145)</c:f>
              <c:numCache>
                <c:formatCode>General</c:formatCode>
                <c:ptCount val="3"/>
                <c:pt idx="0">
                  <c:v>20.4670671783669</c:v>
                </c:pt>
                <c:pt idx="1">
                  <c:v>274.70230051046838</c:v>
                </c:pt>
                <c:pt idx="2">
                  <c:v>673.79911071501647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79-41FE-960D-137C63503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82255224426061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anaerobic'!$C$21,'7_GC measurements anaerobic'!$C$62,'7_GC measurements anaerobic'!$C$146)</c:f>
              <c:numCache>
                <c:formatCode>0.00</c:formatCode>
                <c:ptCount val="3"/>
                <c:pt idx="0">
                  <c:v>0</c:v>
                </c:pt>
                <c:pt idx="1">
                  <c:v>66.28333333338378</c:v>
                </c:pt>
                <c:pt idx="2">
                  <c:v>160.86666666681413</c:v>
                </c:pt>
              </c:numCache>
            </c:numRef>
          </c:xVal>
          <c:yVal>
            <c:numRef>
              <c:f>('7_GC measurements anaerobic'!$F$21,'7_GC measurements anaerobic'!$F$62,'7_GC measurements anaerobic'!$F$146)</c:f>
              <c:numCache>
                <c:formatCode>General</c:formatCode>
                <c:ptCount val="3"/>
                <c:pt idx="0">
                  <c:v>27.9430703120738</c:v>
                </c:pt>
                <c:pt idx="1">
                  <c:v>335.74150446300439</c:v>
                </c:pt>
                <c:pt idx="2">
                  <c:v>833.74210738702311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36-4AD6-A51B-42CE91F4D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09897338782018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anaerobic'!$C$22,'7_GC measurements anaerobic'!$C$63,'7_GC measurements anaerobic'!$C$147)</c:f>
              <c:numCache>
                <c:formatCode>0.00</c:formatCode>
                <c:ptCount val="3"/>
                <c:pt idx="0">
                  <c:v>0</c:v>
                </c:pt>
                <c:pt idx="1">
                  <c:v>66.300000000104774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anaerobic'!$F$22,'7_GC measurements anaerobic'!$F$63,'7_GC measurements anaerobic'!$F$147)</c:f>
              <c:numCache>
                <c:formatCode>General</c:formatCode>
                <c:ptCount val="3"/>
                <c:pt idx="0">
                  <c:v>33.173991787793852</c:v>
                </c:pt>
                <c:pt idx="1">
                  <c:v>382.00723655558602</c:v>
                </c:pt>
                <c:pt idx="2">
                  <c:v>1048.3654819266937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D8-4007-B346-7815E3A01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246287252068177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anaerobic'!$C$23,'7_GC measurements anaerobic'!$C$64,'7_GC measurements anaerobic'!$C$148)</c:f>
              <c:numCache>
                <c:formatCode>0.00</c:formatCode>
                <c:ptCount val="3"/>
                <c:pt idx="0">
                  <c:v>0</c:v>
                </c:pt>
                <c:pt idx="1">
                  <c:v>66.283333333209157</c:v>
                </c:pt>
                <c:pt idx="2">
                  <c:v>160.8666666666395</c:v>
                </c:pt>
              </c:numCache>
            </c:numRef>
          </c:xVal>
          <c:yVal>
            <c:numRef>
              <c:f>('7_GC measurements anaerobic'!$F$23,'7_GC measurements anaerobic'!$F$64,'7_GC measurements anaerobic'!$F$148)</c:f>
              <c:numCache>
                <c:formatCode>General</c:formatCode>
                <c:ptCount val="3"/>
                <c:pt idx="0">
                  <c:v>30.11878013470275</c:v>
                </c:pt>
                <c:pt idx="1">
                  <c:v>399.41639216617187</c:v>
                </c:pt>
                <c:pt idx="2">
                  <c:v>994.93549333911722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5E-4210-8BC1-7C1CCC393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1756204525068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anaerobic'!$C$24,'7_GC measurements anaerobic'!$C$65,'7_GC measurements anaerobic'!$C$149)</c:f>
              <c:numCache>
                <c:formatCode>0.00</c:formatCode>
                <c:ptCount val="3"/>
                <c:pt idx="0">
                  <c:v>0</c:v>
                </c:pt>
                <c:pt idx="1">
                  <c:v>66.300000000104774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anaerobic'!$F$24,'7_GC measurements anaerobic'!$F$65,'7_GC measurements anaerobic'!$F$149)</c:f>
              <c:numCache>
                <c:formatCode>General</c:formatCode>
                <c:ptCount val="3"/>
                <c:pt idx="0">
                  <c:v>20.260377120964936</c:v>
                </c:pt>
                <c:pt idx="1">
                  <c:v>231.84389599786061</c:v>
                </c:pt>
                <c:pt idx="2">
                  <c:v>614.03263975041364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9-4F11-AD00-9DDAC9F8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91640918302933"/>
                  <c:y val="-0.21703703703703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anaerobic'!$C$25,'7_GC measurements anaerobic'!$C$66,'7_GC measurements anaerobic'!$C$150)</c:f>
              <c:numCache>
                <c:formatCode>0.00</c:formatCode>
                <c:ptCount val="3"/>
                <c:pt idx="0">
                  <c:v>0</c:v>
                </c:pt>
                <c:pt idx="1">
                  <c:v>66.300000000104774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anaerobic'!$F$25,'7_GC measurements anaerobic'!$F$66,'7_GC measurements anaerobic'!$F$150)</c:f>
              <c:numCache>
                <c:formatCode>General</c:formatCode>
                <c:ptCount val="3"/>
                <c:pt idx="0">
                  <c:v>29.099109184853059</c:v>
                </c:pt>
                <c:pt idx="1">
                  <c:v>461.7332834875437</c:v>
                </c:pt>
                <c:pt idx="2">
                  <c:v>1114.3416313034404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5B-48D9-8CC2-000FF2EFA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8469218246453371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anaerobic'!$C$26,'7_GC measurements anaerobic'!$C$67,'7_GC measurements anaerobic'!$C$151)</c:f>
              <c:numCache>
                <c:formatCode>0.00</c:formatCode>
                <c:ptCount val="3"/>
                <c:pt idx="0">
                  <c:v>0</c:v>
                </c:pt>
                <c:pt idx="1">
                  <c:v>66.299999999930151</c:v>
                </c:pt>
                <c:pt idx="2">
                  <c:v>160.81666666665114</c:v>
                </c:pt>
              </c:numCache>
            </c:numRef>
          </c:xVal>
          <c:yVal>
            <c:numRef>
              <c:f>('7_GC measurements anaerobic'!$F$26,'7_GC measurements anaerobic'!$F$67,'7_GC measurements anaerobic'!$F$151)</c:f>
              <c:numCache>
                <c:formatCode>General</c:formatCode>
                <c:ptCount val="3"/>
                <c:pt idx="0">
                  <c:v>29.360441441338306</c:v>
                </c:pt>
                <c:pt idx="1">
                  <c:v>296.74083530787374</c:v>
                </c:pt>
                <c:pt idx="2">
                  <c:v>751.59914921282905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56-4998-A966-0CCC46651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886806870660155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anaerobic'!$C$27,'7_GC measurements anaerobic'!$C$68,'7_GC measurements anaerobic'!$C$152)</c:f>
              <c:numCache>
                <c:formatCode>0.00</c:formatCode>
                <c:ptCount val="3"/>
                <c:pt idx="0">
                  <c:v>0</c:v>
                </c:pt>
                <c:pt idx="1">
                  <c:v>66.300000000104774</c:v>
                </c:pt>
                <c:pt idx="2">
                  <c:v>160.98333333333721</c:v>
                </c:pt>
              </c:numCache>
            </c:numRef>
          </c:xVal>
          <c:yVal>
            <c:numRef>
              <c:f>('7_GC measurements anaerobic'!$F$27,'7_GC measurements anaerobic'!$F$68,'7_GC measurements anaerobic'!$F$152)</c:f>
              <c:numCache>
                <c:formatCode>General</c:formatCode>
                <c:ptCount val="3"/>
                <c:pt idx="0">
                  <c:v>28.008165801416489</c:v>
                </c:pt>
                <c:pt idx="1">
                  <c:v>288.70606369801931</c:v>
                </c:pt>
                <c:pt idx="2">
                  <c:v>765.76775047575325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9-4D5A-A177-09CA3788F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2131300043190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anaerobic'!$C$28,'7_GC measurements anaerobic'!$C$69,'7_GC measurements anaerobic'!$C$153)</c:f>
              <c:numCache>
                <c:formatCode>0.00</c:formatCode>
                <c:ptCount val="3"/>
                <c:pt idx="0">
                  <c:v>0</c:v>
                </c:pt>
                <c:pt idx="1">
                  <c:v>66.216666666674428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anaerobic'!$F$28,'7_GC measurements anaerobic'!$F$69,'7_GC measurements anaerobic'!$F$153)</c:f>
              <c:numCache>
                <c:formatCode>General</c:formatCode>
                <c:ptCount val="3"/>
                <c:pt idx="0" formatCode="0.0">
                  <c:v>26.650188366807722</c:v>
                </c:pt>
                <c:pt idx="1">
                  <c:v>267.46287840245657</c:v>
                </c:pt>
                <c:pt idx="2">
                  <c:v>664.05564268812293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AB-485F-9EFB-57FC0C42F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721685105817467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anaerobic'!$C$29,'7_GC measurements anaerobic'!$C$70,'7_GC measurements anaerobic'!$C$154)</c:f>
              <c:numCache>
                <c:formatCode>0.00</c:formatCode>
                <c:ptCount val="3"/>
                <c:pt idx="0">
                  <c:v>0</c:v>
                </c:pt>
                <c:pt idx="1">
                  <c:v>66.366666666639503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anaerobic'!$F$29,'7_GC measurements anaerobic'!$F$70,'7_GC measurements anaerobic'!$F$154)</c:f>
              <c:numCache>
                <c:formatCode>General</c:formatCode>
                <c:ptCount val="3"/>
                <c:pt idx="0">
                  <c:v>27.842813755494916</c:v>
                </c:pt>
                <c:pt idx="1">
                  <c:v>324.41938500338125</c:v>
                </c:pt>
                <c:pt idx="2">
                  <c:v>833.84011338185906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6-4784-801A-5CCFBE01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anaerobic'!$C$30,'7_GC measurements anaerobic'!$C$71,'7_GC measurements anaerobic'!$C$155)</c:f>
              <c:numCache>
                <c:formatCode>0.00</c:formatCode>
                <c:ptCount val="3"/>
                <c:pt idx="0">
                  <c:v>0</c:v>
                </c:pt>
                <c:pt idx="1">
                  <c:v>66.383333333360497</c:v>
                </c:pt>
                <c:pt idx="2">
                  <c:v>160.8833333333605</c:v>
                </c:pt>
              </c:numCache>
            </c:numRef>
          </c:xVal>
          <c:yVal>
            <c:numRef>
              <c:f>('7_GC measurements anaerobic'!$F$30,'7_GC measurements anaerobic'!$F$71,'7_GC measurements anaerobic'!$F$155)</c:f>
              <c:numCache>
                <c:formatCode>General</c:formatCode>
                <c:ptCount val="3"/>
                <c:pt idx="0">
                  <c:v>25.006170898736929</c:v>
                </c:pt>
                <c:pt idx="1">
                  <c:v>208.92534858254075</c:v>
                </c:pt>
                <c:pt idx="2">
                  <c:v>554.08362681438655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C-4AA4-ADC6-3976C87C8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39174058938836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anaerobic'!$C$31,'7_GC measurements anaerobic'!$C$72,'7_GC measurements anaerobic'!$C$156)</c:f>
              <c:numCache>
                <c:formatCode>0.00</c:formatCode>
                <c:ptCount val="3"/>
                <c:pt idx="0">
                  <c:v>0</c:v>
                </c:pt>
                <c:pt idx="1">
                  <c:v>66.383333333360497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anaerobic'!$F$31,'7_GC measurements anaerobic'!$F$72,'7_GC measurements anaerobic'!$F$156)</c:f>
              <c:numCache>
                <c:formatCode>General</c:formatCode>
                <c:ptCount val="3"/>
                <c:pt idx="0">
                  <c:v>19.405107917922326</c:v>
                </c:pt>
                <c:pt idx="1">
                  <c:v>194.89255804090806</c:v>
                </c:pt>
                <c:pt idx="2">
                  <c:v>498.93226279144426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66-4EEB-B95B-F876008C5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anaerobic'!$C$32,'7_GC measurements anaerobic'!$C$73,'7_GC measurements anaerobic'!$C$157)</c:f>
              <c:numCache>
                <c:formatCode>0.00</c:formatCode>
                <c:ptCount val="3"/>
                <c:pt idx="0">
                  <c:v>0</c:v>
                </c:pt>
                <c:pt idx="1">
                  <c:v>66.399999999906868</c:v>
                </c:pt>
                <c:pt idx="2">
                  <c:v>160.89999999990687</c:v>
                </c:pt>
              </c:numCache>
            </c:numRef>
          </c:xVal>
          <c:yVal>
            <c:numRef>
              <c:f>('7_GC measurements anaerobic'!$F$32,'7_GC measurements anaerobic'!$F$73,'7_GC measurements anaerobic'!$F$157)</c:f>
              <c:numCache>
                <c:formatCode>General</c:formatCode>
                <c:ptCount val="3"/>
                <c:pt idx="0">
                  <c:v>18.348375302607455</c:v>
                </c:pt>
                <c:pt idx="1">
                  <c:v>134.40051971281477</c:v>
                </c:pt>
                <c:pt idx="2">
                  <c:v>323.78765380193892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B8-4194-A9AC-CE5AC53A9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98305591547892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anaerobic'!$C$33,'7_GC measurements anaerobic'!$C$74,'7_GC measurements anaerobic'!$C$158)</c:f>
              <c:numCache>
                <c:formatCode>0.00</c:formatCode>
                <c:ptCount val="3"/>
                <c:pt idx="0">
                  <c:v>0</c:v>
                </c:pt>
                <c:pt idx="1">
                  <c:v>66.399999999906868</c:v>
                </c:pt>
                <c:pt idx="2">
                  <c:v>160.89999999990687</c:v>
                </c:pt>
              </c:numCache>
            </c:numRef>
          </c:xVal>
          <c:yVal>
            <c:numRef>
              <c:f>('7_GC measurements anaerobic'!$F$33,'7_GC measurements anaerobic'!$F$74,'7_GC measurements anaerobic'!$F$158)</c:f>
              <c:numCache>
                <c:formatCode>General</c:formatCode>
                <c:ptCount val="3"/>
                <c:pt idx="0">
                  <c:v>22.388571987869295</c:v>
                </c:pt>
                <c:pt idx="1">
                  <c:v>209.92872745530318</c:v>
                </c:pt>
                <c:pt idx="2">
                  <c:v>568.01301913256884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0F-47C0-8F10-1CB886D68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795773945978271"/>
                  <c:y val="-0.18284900284900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anaerobic'!$C$34,'7_GC measurements anaerobic'!$C$75,'7_GC measurements anaerobic'!$C$159)</c:f>
              <c:numCache>
                <c:formatCode>0.00</c:formatCode>
                <c:ptCount val="3"/>
                <c:pt idx="0">
                  <c:v>0</c:v>
                </c:pt>
                <c:pt idx="1">
                  <c:v>66.400000000081491</c:v>
                </c:pt>
                <c:pt idx="2">
                  <c:v>160.90000000008149</c:v>
                </c:pt>
              </c:numCache>
            </c:numRef>
          </c:xVal>
          <c:yVal>
            <c:numRef>
              <c:f>('7_GC measurements anaerobic'!$F$34,'7_GC measurements anaerobic'!$F$75,'7_GC measurements anaerobic'!$F$159)</c:f>
              <c:numCache>
                <c:formatCode>General</c:formatCode>
                <c:ptCount val="3"/>
                <c:pt idx="0">
                  <c:v>13.33934867012124</c:v>
                </c:pt>
                <c:pt idx="1">
                  <c:v>165.81101956477804</c:v>
                </c:pt>
                <c:pt idx="2">
                  <c:v>404.44798100212125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AC-4BBD-98D2-7C6139B4F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9165592362162062"/>
                  <c:y val="-0.464789592377013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anaerobic'!$C$35,'7_GC measurements anaerobic'!$C$76,'7_GC measurements anaerobic'!$C$160)</c:f>
              <c:numCache>
                <c:formatCode>0.00</c:formatCode>
                <c:ptCount val="3"/>
                <c:pt idx="0">
                  <c:v>0</c:v>
                </c:pt>
                <c:pt idx="1">
                  <c:v>66.399999999906868</c:v>
                </c:pt>
                <c:pt idx="2">
                  <c:v>160.89999999990687</c:v>
                </c:pt>
              </c:numCache>
            </c:numRef>
          </c:xVal>
          <c:yVal>
            <c:numRef>
              <c:f>('7_GC measurements anaerobic'!$F$35,'7_GC measurements anaerobic'!$F$76,'7_GC measurements anaerobic'!$F$160)</c:f>
              <c:numCache>
                <c:formatCode>General</c:formatCode>
                <c:ptCount val="3"/>
                <c:pt idx="0">
                  <c:v>17.145296623660855</c:v>
                </c:pt>
                <c:pt idx="1">
                  <c:v>131.21525139156711</c:v>
                </c:pt>
                <c:pt idx="2">
                  <c:v>322.26368380640866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27-4AF4-BF96-E28DD91DB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anaerobic'!$N$158:$N$161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'7_GC measurements anaerobic'!$O$29:$O$32</c:f>
              <c:numCache>
                <c:formatCode>General</c:formatCode>
                <c:ptCount val="4"/>
                <c:pt idx="0">
                  <c:v>0</c:v>
                </c:pt>
                <c:pt idx="1">
                  <c:v>14.978500000000002</c:v>
                </c:pt>
                <c:pt idx="2">
                  <c:v>216.71249999999998</c:v>
                </c:pt>
                <c:pt idx="3">
                  <c:v>7353.5879999999997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0D-4D9E-AEA3-BB369ACA5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anaerobic'!$N$158:$N$161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'7_GC measurements anaerobic'!$O$73:$O$76</c:f>
              <c:numCache>
                <c:formatCode>General</c:formatCode>
                <c:ptCount val="4"/>
                <c:pt idx="0">
                  <c:v>0</c:v>
                </c:pt>
                <c:pt idx="1">
                  <c:v>14.939846666666666</c:v>
                </c:pt>
                <c:pt idx="2">
                  <c:v>215.44899999999998</c:v>
                </c:pt>
                <c:pt idx="3">
                  <c:v>7272.9016666666676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7E-488D-9F88-E16033386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'7_GC measurements anaerobic'!$N$158:$N$161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'7_GC measurements anaerobic'!$O$115:$O$118</c:f>
              <c:numCache>
                <c:formatCode>General</c:formatCode>
                <c:ptCount val="4"/>
                <c:pt idx="0">
                  <c:v>0</c:v>
                </c:pt>
                <c:pt idx="1">
                  <c:v>14.391666666666666</c:v>
                </c:pt>
                <c:pt idx="2">
                  <c:v>214.3546666666667</c:v>
                </c:pt>
                <c:pt idx="3">
                  <c:v>7205.8790000000008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F8-4EA7-A445-18D09761F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'7_GC measurements anaerobic'!$A$8</c:f>
              <c:strCache>
                <c:ptCount val="1"/>
                <c:pt idx="0">
                  <c:v>A29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121354061511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anaerobic'!$C$8,'7_GC measurements anaerobic'!$C$49,'7_GC measurements anaerobic'!$C$91,'7_GC measurements anaerobic'!$C$133)</c:f>
              <c:numCache>
                <c:formatCode>0.00</c:formatCode>
                <c:ptCount val="4"/>
                <c:pt idx="0">
                  <c:v>0</c:v>
                </c:pt>
                <c:pt idx="1">
                  <c:v>66.199999999953434</c:v>
                </c:pt>
                <c:pt idx="2">
                  <c:v>113.98333333327901</c:v>
                </c:pt>
                <c:pt idx="3">
                  <c:v>160.91666666662786</c:v>
                </c:pt>
              </c:numCache>
            </c:numRef>
          </c:xVal>
          <c:yVal>
            <c:numRef>
              <c:f>('7_GC measurements anaerobic'!$H$8,'7_GC measurements anaerobic'!$I$49,'7_GC measurements anaerobic'!$I$91,'7_GC measurements anaerobic'!$I$133)</c:f>
              <c:numCache>
                <c:formatCode>General</c:formatCode>
                <c:ptCount val="4"/>
                <c:pt idx="0">
                  <c:v>2.0053112888849558</c:v>
                </c:pt>
                <c:pt idx="1">
                  <c:v>0.49581865194681785</c:v>
                </c:pt>
                <c:pt idx="2">
                  <c:v>1.018342889767716</c:v>
                </c:pt>
                <c:pt idx="3">
                  <c:v>1.3520849970097275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B-47E5-8E5A-3B09D9535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'7_GC measurements anaerobic'!$A$9</c:f>
              <c:strCache>
                <c:ptCount val="1"/>
                <c:pt idx="0">
                  <c:v>A30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12135406151154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anaerobic'!$C$9,'7_GC measurements anaerobic'!$C$50,'7_GC measurements anaerobic'!$C$92,'7_GC measurements anaerobic'!$C$134)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</c:v>
                </c:pt>
                <c:pt idx="3">
                  <c:v>160.91666666662786</c:v>
                </c:pt>
              </c:numCache>
            </c:numRef>
          </c:xVal>
          <c:yVal>
            <c:numRef>
              <c:f>('7_GC measurements anaerobic'!$H$9,'7_GC measurements anaerobic'!$I$50,'7_GC measurements anaerobic'!$I$92,'7_GC measurements anaerobic'!$I$134)</c:f>
              <c:numCache>
                <c:formatCode>General</c:formatCode>
                <c:ptCount val="4"/>
                <c:pt idx="0">
                  <c:v>0.17529135028975368</c:v>
                </c:pt>
                <c:pt idx="1">
                  <c:v>0.15028557586740762</c:v>
                </c:pt>
                <c:pt idx="2">
                  <c:v>0.22190382675641562</c:v>
                </c:pt>
                <c:pt idx="3">
                  <c:v>1.0239884963732231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756-4E02-A787-1F9BB198F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91900063125013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anaerobic'!$C$10,'7_GC measurements anaerobic'!$C$51,'7_GC measurements anaerobic'!$C$93,'7_GC measurements anaerobic'!$C$135)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</c:v>
                </c:pt>
                <c:pt idx="3">
                  <c:v>160.89999999990687</c:v>
                </c:pt>
              </c:numCache>
            </c:numRef>
          </c:xVal>
          <c:yVal>
            <c:numRef>
              <c:f>('7_GC measurements anaerobic'!$H$10,'7_GC measurements anaerobic'!$I$51,'7_GC measurements anaerobic'!$I$93,'7_GC measurements anaerobic'!$I$135)</c:f>
              <c:numCache>
                <c:formatCode>General</c:formatCode>
                <c:ptCount val="4"/>
                <c:pt idx="0">
                  <c:v>8.968552794111137E-2</c:v>
                </c:pt>
                <c:pt idx="1">
                  <c:v>0.17654773962831785</c:v>
                </c:pt>
                <c:pt idx="2">
                  <c:v>0.3111371979911719</c:v>
                </c:pt>
                <c:pt idx="3">
                  <c:v>0.49787450273302397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99-41CD-A0DD-958A4903B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581846572975845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anaerobic'!$C$11,'7_GC measurements anaerobic'!$C$52,'7_GC measurements anaerobic'!$C$94,'7_GC measurements anaerobic'!$C$136)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anaerobic'!$H$11,'7_GC measurements anaerobic'!$I$52,'7_GC measurements anaerobic'!$I$94,'7_GC measurements anaerobic'!$I$136)</c:f>
              <c:numCache>
                <c:formatCode>General</c:formatCode>
                <c:ptCount val="4"/>
                <c:pt idx="0">
                  <c:v>7.248276935953353E-2</c:v>
                </c:pt>
                <c:pt idx="1">
                  <c:v>0.18431639016492216</c:v>
                </c:pt>
                <c:pt idx="2">
                  <c:v>0.2222507683242024</c:v>
                </c:pt>
                <c:pt idx="3">
                  <c:v>0.32755080999095504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25-420D-9341-042E912A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864546994916777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anaerobic'!$C$12,'7_GC measurements anaerobic'!$C$53,'7_GC measurements anaerobic'!$C$95,'7_GC measurements anaerobic'!$C$137)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</c:v>
                </c:pt>
                <c:pt idx="3">
                  <c:v>160.91666666662786</c:v>
                </c:pt>
              </c:numCache>
            </c:numRef>
          </c:xVal>
          <c:yVal>
            <c:numRef>
              <c:f>('7_GC measurements anaerobic'!$H$12,'7_GC measurements anaerobic'!$I$53,'7_GC measurements anaerobic'!$I$95,'7_GC measurements anaerobic'!$I$137)</c:f>
              <c:numCache>
                <c:formatCode>General</c:formatCode>
                <c:ptCount val="4"/>
                <c:pt idx="0">
                  <c:v>0</c:v>
                </c:pt>
                <c:pt idx="1">
                  <c:v>0.13509202039316376</c:v>
                </c:pt>
                <c:pt idx="2">
                  <c:v>0.13142146587762701</c:v>
                </c:pt>
                <c:pt idx="3">
                  <c:v>0.23833038944364787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69-479F-B2AD-8AB2E1E74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42024651981794"/>
                  <c:y val="-0.234966911187383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anaerobic'!$C$13,'7_GC measurements anaerobic'!$C$54,'7_GC measurements anaerobic'!$C$96,'7_GC measurements anaerobic'!$C$138)</c:f>
              <c:numCache>
                <c:formatCode>0.00</c:formatCode>
                <c:ptCount val="4"/>
                <c:pt idx="0">
                  <c:v>0</c:v>
                </c:pt>
                <c:pt idx="1">
                  <c:v>66.416666666627862</c:v>
                </c:pt>
                <c:pt idx="2">
                  <c:v>114.34999999991851</c:v>
                </c:pt>
                <c:pt idx="3">
                  <c:v>160.89999999990687</c:v>
                </c:pt>
              </c:numCache>
            </c:numRef>
          </c:xVal>
          <c:yVal>
            <c:numRef>
              <c:f>('7_GC measurements anaerobic'!$H$13,'7_GC measurements anaerobic'!$I$54,'7_GC measurements anaerobic'!$I$96,'7_GC measurements anaerobic'!$I$138)</c:f>
              <c:numCache>
                <c:formatCode>General</c:formatCode>
                <c:ptCount val="4"/>
                <c:pt idx="0">
                  <c:v>0</c:v>
                </c:pt>
                <c:pt idx="1">
                  <c:v>7.8786491282730617E-2</c:v>
                </c:pt>
                <c:pt idx="2">
                  <c:v>0.12045811233556521</c:v>
                </c:pt>
                <c:pt idx="3">
                  <c:v>0.10449975862268704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C2-4BD6-BE09-226116860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727598923552276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anaerobic'!$C$14,'7_GC measurements anaerobic'!$C$55,'7_GC measurements anaerobic'!$C$97,'7_GC measurements anaerobic'!$C$139)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anaerobic'!$H$14,'7_GC measurements anaerobic'!$I$55,'7_GC measurements anaerobic'!$I$97,'7_GC measurements anaerobic'!$I$139)</c:f>
              <c:numCache>
                <c:formatCode>General</c:formatCode>
                <c:ptCount val="4"/>
                <c:pt idx="0">
                  <c:v>0</c:v>
                </c:pt>
                <c:pt idx="1">
                  <c:v>0.2008849280350252</c:v>
                </c:pt>
                <c:pt idx="2">
                  <c:v>0.3103045382284837</c:v>
                </c:pt>
                <c:pt idx="3">
                  <c:v>0.52659147295505482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32-4712-9E71-938D0263E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024053955280916"/>
                  <c:y val="-0.18854700854700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anaerobic'!$C$15,'7_GC measurements anaerobic'!$C$56,'7_GC measurements anaerobic'!$C$98,'7_GC measurements anaerobic'!$C$140)</c:f>
              <c:numCache>
                <c:formatCode>0.00</c:formatCode>
                <c:ptCount val="4"/>
                <c:pt idx="0">
                  <c:v>0</c:v>
                </c:pt>
                <c:pt idx="1">
                  <c:v>66.233333333395422</c:v>
                </c:pt>
                <c:pt idx="2">
                  <c:v>114.24999999994179</c:v>
                </c:pt>
                <c:pt idx="3">
                  <c:v>160.91666666662786</c:v>
                </c:pt>
              </c:numCache>
            </c:numRef>
          </c:xVal>
          <c:yVal>
            <c:numRef>
              <c:f>('7_GC measurements anaerobic'!$H$15,'7_GC measurements anaerobic'!$I$56,'7_GC measurements anaerobic'!$I$98,'7_GC measurements anaerobic'!$I$140)</c:f>
              <c:numCache>
                <c:formatCode>General</c:formatCode>
                <c:ptCount val="4"/>
                <c:pt idx="0">
                  <c:v>8.8665601542994119E-2</c:v>
                </c:pt>
                <c:pt idx="1">
                  <c:v>0.10023621665813372</c:v>
                </c:pt>
                <c:pt idx="2">
                  <c:v>0.1415521596570006</c:v>
                </c:pt>
                <c:pt idx="3">
                  <c:v>0.2729817454360271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76-4AF0-97CE-EA3B28C76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6485265291205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anaerobic'!$C$16,'7_GC measurements anaerobic'!$C$57,'7_GC measurements anaerobic'!$C$99,'7_GC measurements anaerobic'!$C$141)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114.25000000011642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anaerobic'!$H$16,'7_GC measurements anaerobic'!$I$57,'7_GC measurements anaerobic'!$I$99,'7_GC measurements anaerobic'!$I$141)</c:f>
              <c:numCache>
                <c:formatCode>General</c:formatCode>
                <c:ptCount val="4"/>
                <c:pt idx="0">
                  <c:v>0</c:v>
                </c:pt>
                <c:pt idx="1">
                  <c:v>9.1711325803806851E-2</c:v>
                </c:pt>
                <c:pt idx="2">
                  <c:v>7.9449619023169452E-2</c:v>
                </c:pt>
                <c:pt idx="3">
                  <c:v>8.5127740705687613E-2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40-4883-9916-85847A678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963424034021063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anaerobic'!$C$17,'7_GC measurements anaerobic'!$C$58,'7_GC measurements anaerobic'!$C$100,'7_GC measurements anaerobic'!$C$142)</c:f>
              <c:numCache>
                <c:formatCode>0.00</c:formatCode>
                <c:ptCount val="4"/>
                <c:pt idx="0">
                  <c:v>0</c:v>
                </c:pt>
                <c:pt idx="1">
                  <c:v>66.233333333395422</c:v>
                </c:pt>
                <c:pt idx="2">
                  <c:v>114.25000000011642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anaerobic'!$H$17,'7_GC measurements anaerobic'!$I$58,'7_GC measurements anaerobic'!$I$100,'7_GC measurements anaerobic'!$I$142)</c:f>
              <c:numCache>
                <c:formatCode>General</c:formatCode>
                <c:ptCount val="4"/>
                <c:pt idx="0">
                  <c:v>0</c:v>
                </c:pt>
                <c:pt idx="1">
                  <c:v>0.23924693687949614</c:v>
                </c:pt>
                <c:pt idx="2">
                  <c:v>0.27769203085652761</c:v>
                </c:pt>
                <c:pt idx="3">
                  <c:v>0.3826655651914323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3D-46EC-ABBD-B9A5F556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A39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anaerobic'!$C$18,'7_GC measurements anaerobic'!$C$59,'7_GC measurements anaerobic'!$C$101,'7_GC measurements anaerobic'!$C$143)</c:f>
              <c:numCache>
                <c:formatCode>0.00</c:formatCode>
                <c:ptCount val="4"/>
                <c:pt idx="0">
                  <c:v>0</c:v>
                </c:pt>
                <c:pt idx="1">
                  <c:v>66.150000000139698</c:v>
                </c:pt>
                <c:pt idx="2">
                  <c:v>114.26666666666279</c:v>
                </c:pt>
                <c:pt idx="3">
                  <c:v>160.91666666680248</c:v>
                </c:pt>
              </c:numCache>
            </c:numRef>
          </c:xVal>
          <c:yVal>
            <c:numRef>
              <c:f>('7_GC measurements anaerobic'!$H$18,'7_GC measurements anaerobic'!$I$59,'7_GC measurements anaerobic'!$I$101,'7_GC measurements anaerobic'!$I$143)</c:f>
              <c:numCache>
                <c:formatCode>General</c:formatCode>
                <c:ptCount val="4"/>
                <c:pt idx="0">
                  <c:v>0</c:v>
                </c:pt>
                <c:pt idx="1">
                  <c:v>0.10064871137689148</c:v>
                </c:pt>
                <c:pt idx="2">
                  <c:v>0</c:v>
                </c:pt>
                <c:pt idx="3">
                  <c:v>0.15483972067460808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77-447C-B33A-07593CEDB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616432439615934"/>
                  <c:y val="-0.2089620207730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anaerobic'!$C$19,'7_GC measurements anaerobic'!$C$60,'7_GC measurements anaerobic'!$C$102,'7_GC measurements anaerobic'!$C$144)</c:f>
              <c:numCache>
                <c:formatCode>0.00</c:formatCode>
                <c:ptCount val="4"/>
                <c:pt idx="0">
                  <c:v>0</c:v>
                </c:pt>
                <c:pt idx="1">
                  <c:v>66.266666666662786</c:v>
                </c:pt>
                <c:pt idx="2">
                  <c:v>114.26666666666279</c:v>
                </c:pt>
                <c:pt idx="3">
                  <c:v>160.91666666662786</c:v>
                </c:pt>
              </c:numCache>
            </c:numRef>
          </c:xVal>
          <c:yVal>
            <c:numRef>
              <c:f>('7_GC measurements anaerobic'!$H$19,'7_GC measurements anaerobic'!$I$60,'7_GC measurements anaerobic'!$I$102,'7_GC measurements anaerobic'!$I$144)</c:f>
              <c:numCache>
                <c:formatCode>General</c:formatCode>
                <c:ptCount val="4"/>
                <c:pt idx="0">
                  <c:v>0</c:v>
                </c:pt>
                <c:pt idx="1">
                  <c:v>0.1238859138669115</c:v>
                </c:pt>
                <c:pt idx="2">
                  <c:v>0.21440988889222148</c:v>
                </c:pt>
                <c:pt idx="3">
                  <c:v>0.25722492804579167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24-43BF-83D5-94174A2A9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5382703744310442"/>
                  <c:y val="-0.218631581308746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anaerobic'!$C$20,'7_GC measurements anaerobic'!$C$61,'7_GC measurements anaerobic'!$C$103,'7_GC measurements anaerobic'!$C$145)</c:f>
              <c:numCache>
                <c:formatCode>0.00</c:formatCode>
                <c:ptCount val="4"/>
                <c:pt idx="0">
                  <c:v>0</c:v>
                </c:pt>
                <c:pt idx="1">
                  <c:v>66.299999999930151</c:v>
                </c:pt>
                <c:pt idx="2">
                  <c:v>114.23333333339542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anaerobic'!$H$20,'7_GC measurements anaerobic'!$I$61,'7_GC measurements anaerobic'!$I$103,'7_GC measurements anaerobic'!$I$145)</c:f>
              <c:numCache>
                <c:formatCode>General</c:formatCode>
                <c:ptCount val="4"/>
                <c:pt idx="0">
                  <c:v>0</c:v>
                </c:pt>
                <c:pt idx="1">
                  <c:v>0.10229869025192248</c:v>
                </c:pt>
                <c:pt idx="2">
                  <c:v>0.18922193107090227</c:v>
                </c:pt>
                <c:pt idx="3">
                  <c:v>0.34855989984460234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58-42E9-831D-ECD09CA45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82255224426061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anaerobic'!$C$21,'7_GC measurements anaerobic'!$C$62,'7_GC measurements anaerobic'!$C$104,'7_GC measurements anaerobic'!$C$146)</c:f>
              <c:numCache>
                <c:formatCode>0.00</c:formatCode>
                <c:ptCount val="4"/>
                <c:pt idx="0">
                  <c:v>0</c:v>
                </c:pt>
                <c:pt idx="1">
                  <c:v>66.28333333338378</c:v>
                </c:pt>
                <c:pt idx="2">
                  <c:v>114.21666666667443</c:v>
                </c:pt>
                <c:pt idx="3">
                  <c:v>160.86666666681413</c:v>
                </c:pt>
              </c:numCache>
            </c:numRef>
          </c:xVal>
          <c:yVal>
            <c:numRef>
              <c:f>('7_GC measurements anaerobic'!$H$21,'7_GC measurements anaerobic'!$I$62,'7_GC measurements anaerobic'!$I$104,'7_GC measurements anaerobic'!$I$146)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0.12134795730402104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15-41DC-88C4-90A215A0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909897338782018"/>
                  <c:y val="-0.211339031339031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anaerobic'!$C$22,'7_GC measurements anaerobic'!$C$63,'7_GC measurements anaerobic'!$C$105,'7_GC measurements anaerobic'!$C$147)</c:f>
              <c:numCache>
                <c:formatCode>0.00</c:formatCode>
                <c:ptCount val="4"/>
                <c:pt idx="0">
                  <c:v>0</c:v>
                </c:pt>
                <c:pt idx="1">
                  <c:v>66.300000000104774</c:v>
                </c:pt>
                <c:pt idx="2">
                  <c:v>114.21666666667443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anaerobic'!$H$22,'7_GC measurements anaerobic'!$I$63,'7_GC measurements anaerobic'!$I$105,'7_GC measurements anaerobic'!$I$147)</c:f>
              <c:numCache>
                <c:formatCode>General</c:formatCode>
                <c:ptCount val="4"/>
                <c:pt idx="0">
                  <c:v>0</c:v>
                </c:pt>
                <c:pt idx="1">
                  <c:v>9.6111269470556204E-2</c:v>
                </c:pt>
                <c:pt idx="2">
                  <c:v>0.10567840154784897</c:v>
                </c:pt>
                <c:pt idx="3">
                  <c:v>0.45005835991676835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96-4830-B64B-AFA660E1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0246287252068177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anaerobic'!$C$23,'7_GC measurements anaerobic'!$C$64,'7_GC measurements anaerobic'!$C$106,'7_GC measurements anaerobic'!$C$148)</c:f>
              <c:numCache>
                <c:formatCode>0.00</c:formatCode>
                <c:ptCount val="4"/>
                <c:pt idx="0">
                  <c:v>0</c:v>
                </c:pt>
                <c:pt idx="1">
                  <c:v>66.283333333209157</c:v>
                </c:pt>
                <c:pt idx="2">
                  <c:v>114.21666666667443</c:v>
                </c:pt>
                <c:pt idx="3">
                  <c:v>160.8666666666395</c:v>
                </c:pt>
              </c:numCache>
            </c:numRef>
          </c:xVal>
          <c:yVal>
            <c:numRef>
              <c:f>('7_GC measurements anaerobic'!$H$23,'7_GC measurements anaerobic'!$I$64,'7_GC measurements anaerobic'!$I$106,'7_GC measurements anaerobic'!$I$148)</c:f>
              <c:numCache>
                <c:formatCode>General</c:formatCode>
                <c:ptCount val="4"/>
                <c:pt idx="0">
                  <c:v>0</c:v>
                </c:pt>
                <c:pt idx="1">
                  <c:v>9.9136230741446382E-2</c:v>
                </c:pt>
                <c:pt idx="2">
                  <c:v>0.19734036375711259</c:v>
                </c:pt>
                <c:pt idx="3">
                  <c:v>0.52488618968771328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86-4248-81D1-D95AAF139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1756204525068"/>
                  <c:y val="-0.199943019943019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anaerobic'!$C$24,'7_GC measurements anaerobic'!$C$65,'7_GC measurements anaerobic'!$C$107,'7_GC measurements anaerobic'!$C$149)</c:f>
              <c:numCache>
                <c:formatCode>0.00</c:formatCode>
                <c:ptCount val="4"/>
                <c:pt idx="0">
                  <c:v>0</c:v>
                </c:pt>
                <c:pt idx="1">
                  <c:v>66.300000000104774</c:v>
                </c:pt>
                <c:pt idx="2">
                  <c:v>114.33333333337214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anaerobic'!$H$24,'7_GC measurements anaerobic'!$I$65,'7_GC measurements anaerobic'!$I$107,'7_GC measurements anaerobic'!$I$149)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7.3898553938581191E-2</c:v>
                </c:pt>
                <c:pt idx="3">
                  <c:v>0.10995666507817985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4A-4360-883E-5F214DDFF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91640918302933"/>
                  <c:y val="-0.21703703703703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anaerobic'!$C$25,'7_GC measurements anaerobic'!$C$66,'7_GC measurements anaerobic'!$C$108,'7_GC measurements anaerobic'!$C$150)</c:f>
              <c:numCache>
                <c:formatCode>0.00</c:formatCode>
                <c:ptCount val="4"/>
                <c:pt idx="0">
                  <c:v>0</c:v>
                </c:pt>
                <c:pt idx="1">
                  <c:v>66.300000000104774</c:v>
                </c:pt>
                <c:pt idx="2">
                  <c:v>114.33333333337214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anaerobic'!$H$25,'7_GC measurements anaerobic'!$I$66,'7_GC measurements anaerobic'!$I$108,'7_GC measurements anaerobic'!$I$150)</c:f>
              <c:numCache>
                <c:formatCode>General</c:formatCode>
                <c:ptCount val="4"/>
                <c:pt idx="0">
                  <c:v>0</c:v>
                </c:pt>
                <c:pt idx="1">
                  <c:v>0.18177267273258271</c:v>
                </c:pt>
                <c:pt idx="2">
                  <c:v>0.30905554858445128</c:v>
                </c:pt>
                <c:pt idx="3">
                  <c:v>0.44119088692659253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CD-45A8-8576-1FB88078F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A19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27851044010453"/>
                  <c:y val="-0.328954615215815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anaerobic'!$C$26,'7_GC measurements anaerobic'!$C$67,'7_GC measurements anaerobic'!$C$109,'7_GC measurements anaerobic'!$C$151)</c:f>
              <c:numCache>
                <c:formatCode>0.00</c:formatCode>
                <c:ptCount val="4"/>
                <c:pt idx="0">
                  <c:v>0</c:v>
                </c:pt>
                <c:pt idx="1">
                  <c:v>66.299999999930151</c:v>
                </c:pt>
                <c:pt idx="2">
                  <c:v>114.34999999991851</c:v>
                </c:pt>
                <c:pt idx="3">
                  <c:v>160.81666666665114</c:v>
                </c:pt>
              </c:numCache>
            </c:numRef>
          </c:xVal>
          <c:yVal>
            <c:numRef>
              <c:f>('7_GC measurements anaerobic'!$H$26,'7_GC measurements anaerobic'!$I$67,'7_GC measurements anaerobic'!$I$109,'7_GC measurements anaerobic'!$I$151)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0.12414462186246111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B9-43BD-9EC5-A7894518C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A20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886806870660155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anaerobic'!$C$27,'7_GC measurements anaerobic'!$C$68,'7_GC measurements anaerobic'!$C$110,'7_GC measurements anaerobic'!$C$152)</c:f>
              <c:numCache>
                <c:formatCode>0.00</c:formatCode>
                <c:ptCount val="4"/>
                <c:pt idx="0">
                  <c:v>0</c:v>
                </c:pt>
                <c:pt idx="1">
                  <c:v>66.300000000104774</c:v>
                </c:pt>
                <c:pt idx="2">
                  <c:v>114.33333333337214</c:v>
                </c:pt>
                <c:pt idx="3">
                  <c:v>160.98333333333721</c:v>
                </c:pt>
              </c:numCache>
            </c:numRef>
          </c:xVal>
          <c:yVal>
            <c:numRef>
              <c:f>('7_GC measurements anaerobic'!$H$27,'7_GC measurements anaerobic'!$I$68,'7_GC measurements anaerobic'!$I$110,'7_GC measurements anaerobic'!$I$152)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7.313528248945031E-2</c:v>
                </c:pt>
                <c:pt idx="3">
                  <c:v>0.21050016652063458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A9-42F6-B1B6-85BB1AFFB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452131300043190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anaerobic'!$C$28,'7_GC measurements anaerobic'!$C$69,'7_GC measurements anaerobic'!$C$111,'7_GC measurements anaerobic'!$C$153)</c:f>
              <c:numCache>
                <c:formatCode>0.00</c:formatCode>
                <c:ptCount val="4"/>
                <c:pt idx="0">
                  <c:v>0</c:v>
                </c:pt>
                <c:pt idx="1">
                  <c:v>66.216666666674428</c:v>
                </c:pt>
                <c:pt idx="2">
                  <c:v>114.33333333337214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anaerobic'!$H$28,'7_GC measurements anaerobic'!$I$69,'7_GC measurements anaerobic'!$I$111,'7_GC measurements anaerobic'!$I$153)</c:f>
              <c:numCache>
                <c:formatCode>General</c:formatCode>
                <c:ptCount val="4"/>
                <c:pt idx="0">
                  <c:v>0.14020588219451982</c:v>
                </c:pt>
                <c:pt idx="1">
                  <c:v>0</c:v>
                </c:pt>
                <c:pt idx="2">
                  <c:v>0.10900904059860192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5C-48DF-A023-5118CF89C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721685105817467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anaerobic'!$C$29,'7_GC measurements anaerobic'!$C$70,'7_GC measurements anaerobic'!$C$112,'7_GC measurements anaerobic'!$C$154)</c:f>
              <c:numCache>
                <c:formatCode>0.00</c:formatCode>
                <c:ptCount val="4"/>
                <c:pt idx="0">
                  <c:v>0</c:v>
                </c:pt>
                <c:pt idx="1">
                  <c:v>66.366666666639503</c:v>
                </c:pt>
                <c:pt idx="2">
                  <c:v>114.31666666665114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anaerobic'!$H$29,'7_GC measurements anaerobic'!$I$70,'7_GC measurements anaerobic'!$I$112,'7_GC measurements anaerobic'!$I$154)</c:f>
              <c:numCache>
                <c:formatCode>General</c:formatCode>
                <c:ptCount val="4"/>
                <c:pt idx="0">
                  <c:v>7.9962229612393465E-2</c:v>
                </c:pt>
                <c:pt idx="1">
                  <c:v>0.1549605160133288</c:v>
                </c:pt>
                <c:pt idx="2">
                  <c:v>0.11331111603915783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1-4592-9DD2-E930D9624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anaerobic'!$C$30,'7_GC measurements anaerobic'!$C$71,'7_GC measurements anaerobic'!$C$113,'7_GC measurements anaerobic'!$C$155)</c:f>
              <c:numCache>
                <c:formatCode>0.00</c:formatCode>
                <c:ptCount val="4"/>
                <c:pt idx="0">
                  <c:v>0</c:v>
                </c:pt>
                <c:pt idx="1">
                  <c:v>66.383333333360497</c:v>
                </c:pt>
                <c:pt idx="2">
                  <c:v>114.33333333337214</c:v>
                </c:pt>
                <c:pt idx="3">
                  <c:v>160.8833333333605</c:v>
                </c:pt>
              </c:numCache>
            </c:numRef>
          </c:xVal>
          <c:yVal>
            <c:numRef>
              <c:f>('7_GC measurements anaerobic'!$H$30,'7_GC measurements anaerobic'!$I$71,'7_GC measurements anaerobic'!$I$113,'7_GC measurements anaerobic'!$I$155)</c:f>
              <c:numCache>
                <c:formatCode>General</c:formatCode>
                <c:ptCount val="4"/>
                <c:pt idx="0">
                  <c:v>0</c:v>
                </c:pt>
                <c:pt idx="1">
                  <c:v>0.11233606174169444</c:v>
                </c:pt>
                <c:pt idx="2">
                  <c:v>7.7298581302891509E-2</c:v>
                </c:pt>
                <c:pt idx="3">
                  <c:v>0.13110217759321441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BB-4E09-A648-7FF2F7EBB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139174058938836"/>
                  <c:y val="-0.205641025641025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anaerobic'!$C$31,'7_GC measurements anaerobic'!$C$72,'7_GC measurements anaerobic'!$C$114,'7_GC measurements anaerobic'!$C$156)</c:f>
              <c:numCache>
                <c:formatCode>0.00</c:formatCode>
                <c:ptCount val="4"/>
                <c:pt idx="0">
                  <c:v>0</c:v>
                </c:pt>
                <c:pt idx="1">
                  <c:v>66.383333333360497</c:v>
                </c:pt>
                <c:pt idx="2">
                  <c:v>114.33333333337214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anaerobic'!$H$31,'7_GC measurements anaerobic'!$I$72,'7_GC measurements anaerobic'!$I$114,'7_GC measurements anaerobic'!$I$156)</c:f>
              <c:numCache>
                <c:formatCode>General</c:formatCode>
                <c:ptCount val="4"/>
                <c:pt idx="0">
                  <c:v>7.4726607435391515E-2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D-4AF7-BA7F-84A2A1DAD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A25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6327419515598527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anaerobic'!$C$32,'7_GC measurements anaerobic'!$C$73,'7_GC measurements anaerobic'!$C$115,'7_GC measurements anaerobic'!$C$157)</c:f>
              <c:numCache>
                <c:formatCode>0.00</c:formatCode>
                <c:ptCount val="4"/>
                <c:pt idx="0">
                  <c:v>0</c:v>
                </c:pt>
                <c:pt idx="1">
                  <c:v>66.399999999906868</c:v>
                </c:pt>
                <c:pt idx="2">
                  <c:v>114.34999999991851</c:v>
                </c:pt>
                <c:pt idx="3">
                  <c:v>160.89999999990687</c:v>
                </c:pt>
              </c:numCache>
            </c:numRef>
          </c:xVal>
          <c:yVal>
            <c:numRef>
              <c:f>('7_GC measurements anaerobic'!$H$32,'7_GC measurements anaerobic'!$I$73,'7_GC measurements anaerobic'!$I$115,'7_GC measurements anaerobic'!$I$157)</c:f>
              <c:numCache>
                <c:formatCode>General</c:formatCode>
                <c:ptCount val="4"/>
                <c:pt idx="0">
                  <c:v>7.4522622155768062E-2</c:v>
                </c:pt>
                <c:pt idx="1">
                  <c:v>0</c:v>
                </c:pt>
                <c:pt idx="2">
                  <c:v>0</c:v>
                </c:pt>
                <c:pt idx="3">
                  <c:v>8.1307906186842652E-2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22-485D-885F-D900AD261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A26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983055915478922"/>
                  <c:y val="-0.194245014245014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anaerobic'!$C$33,'7_GC measurements anaerobic'!$C$74,'7_GC measurements anaerobic'!$C$116,'7_GC measurements anaerobic'!$C$158)</c:f>
              <c:numCache>
                <c:formatCode>0.00</c:formatCode>
                <c:ptCount val="4"/>
                <c:pt idx="0">
                  <c:v>0</c:v>
                </c:pt>
                <c:pt idx="1">
                  <c:v>66.399999999906868</c:v>
                </c:pt>
                <c:pt idx="2">
                  <c:v>114.34999999991851</c:v>
                </c:pt>
                <c:pt idx="3">
                  <c:v>160.89999999990687</c:v>
                </c:pt>
              </c:numCache>
            </c:numRef>
          </c:xVal>
          <c:yVal>
            <c:numRef>
              <c:f>('7_GC measurements anaerobic'!$H$33,'7_GC measurements anaerobic'!$I$74,'7_GC measurements anaerobic'!$I$116,'7_GC measurements anaerobic'!$I$158)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0.13110217759321441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15-4115-850D-E37BD9190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A27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795773945978271"/>
                  <c:y val="-0.182849002849002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anaerobic'!$C$34,'7_GC measurements anaerobic'!$C$75,'7_GC measurements anaerobic'!$C$117,'7_GC measurements anaerobic'!$C$159)</c:f>
              <c:numCache>
                <c:formatCode>0.00</c:formatCode>
                <c:ptCount val="4"/>
                <c:pt idx="0">
                  <c:v>0</c:v>
                </c:pt>
                <c:pt idx="1">
                  <c:v>66.400000000081491</c:v>
                </c:pt>
                <c:pt idx="2">
                  <c:v>114.33333333337214</c:v>
                </c:pt>
                <c:pt idx="3">
                  <c:v>160.90000000008149</c:v>
                </c:pt>
              </c:numCache>
            </c:numRef>
          </c:xVal>
          <c:yVal>
            <c:numRef>
              <c:f>('7_GC measurements anaerobic'!$H$34,'7_GC measurements anaerobic'!$I$75,'7_GC measurements anaerobic'!$I$117,'7_GC measurements anaerobic'!$I$159)</c:f>
              <c:numCache>
                <c:formatCode>General</c:formatCode>
                <c:ptCount val="4"/>
                <c:pt idx="0">
                  <c:v>0</c:v>
                </c:pt>
                <c:pt idx="1">
                  <c:v>6.998660394923191E-2</c:v>
                </c:pt>
                <c:pt idx="2">
                  <c:v>0.1761075398085625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C1-46EB-85C3-C21A4B356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A56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A28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1661822287347766E-2"/>
                  <c:y val="-0.2183978535837485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('7_GC measurements anaerobic'!$C$35,'7_GC measurements anaerobic'!$C$76,'7_GC measurements anaerobic'!$C$118,'7_GC measurements anaerobic'!$C$160)</c:f>
              <c:numCache>
                <c:formatCode>0.00</c:formatCode>
                <c:ptCount val="4"/>
                <c:pt idx="0">
                  <c:v>0</c:v>
                </c:pt>
                <c:pt idx="1">
                  <c:v>66.399999999906868</c:v>
                </c:pt>
                <c:pt idx="2">
                  <c:v>114.34999999991851</c:v>
                </c:pt>
                <c:pt idx="3">
                  <c:v>160.89999999990687</c:v>
                </c:pt>
              </c:numCache>
            </c:numRef>
          </c:xVal>
          <c:yVal>
            <c:numRef>
              <c:f>('7_GC measurements anaerobic'!$H$35,'7_GC measurements anaerobic'!$I$76,'7_GC measurements anaerobic'!$I$118,'7_GC measurements anaerobic'!$I$160)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0.1093559821663887</c:v>
                </c:pt>
                <c:pt idx="3">
                  <c:v>0.10613683055933489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3B-48B9-B39E-2311D14B4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533775"/>
        <c:axId val="637536271"/>
      </c:scatterChart>
      <c:valAx>
        <c:axId val="63753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6271"/>
        <c:crosses val="autoZero"/>
        <c:crossBetween val="midCat"/>
      </c:valAx>
      <c:valAx>
        <c:axId val="63753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3753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'9_Long-term incubation'!$N$29:$N$32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'9_Long-term incubation'!$O$29:$O$32</c:f>
              <c:numCache>
                <c:formatCode>General</c:formatCode>
                <c:ptCount val="4"/>
                <c:pt idx="0">
                  <c:v>0</c:v>
                </c:pt>
                <c:pt idx="1">
                  <c:v>15.798875000000002</c:v>
                </c:pt>
                <c:pt idx="2">
                  <c:v>214.28816666666663</c:v>
                </c:pt>
                <c:pt idx="3">
                  <c:v>7310.3263333333334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B3-4ECA-B1FE-CE5A89958B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Standards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0.14566669965177154"/>
                  <c:y val="-0.697494883275337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'9_Long-term incubation'!$N$73:$N$76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30</c:v>
                </c:pt>
                <c:pt idx="3">
                  <c:v>1000</c:v>
                </c:pt>
              </c:numCache>
            </c:numRef>
          </c:xVal>
          <c:yVal>
            <c:numRef>
              <c:f>'9_Long-term incubation'!$O$73:$O$76</c:f>
              <c:numCache>
                <c:formatCode>General</c:formatCode>
                <c:ptCount val="4"/>
                <c:pt idx="0">
                  <c:v>0</c:v>
                </c:pt>
                <c:pt idx="1">
                  <c:v>16.575499999999998</c:v>
                </c:pt>
                <c:pt idx="2">
                  <c:v>219.62883333333332</c:v>
                </c:pt>
                <c:pt idx="3">
                  <c:v>7224.7938333333332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9-44D3-BB5F-74F2D7BB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6742272"/>
        <c:axId val="306741856"/>
      </c:scatterChart>
      <c:valAx>
        <c:axId val="30674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1856"/>
        <c:crosses val="autoZero"/>
        <c:crossBetween val="midCat"/>
      </c:valAx>
      <c:valAx>
        <c:axId val="30674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06742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46.xml"/><Relationship Id="rId18" Type="http://schemas.openxmlformats.org/officeDocument/2006/relationships/chart" Target="../charts/chart51.xml"/><Relationship Id="rId26" Type="http://schemas.openxmlformats.org/officeDocument/2006/relationships/chart" Target="../charts/chart59.xml"/><Relationship Id="rId39" Type="http://schemas.openxmlformats.org/officeDocument/2006/relationships/chart" Target="../charts/chart72.xml"/><Relationship Id="rId21" Type="http://schemas.openxmlformats.org/officeDocument/2006/relationships/chart" Target="../charts/chart54.xml"/><Relationship Id="rId34" Type="http://schemas.openxmlformats.org/officeDocument/2006/relationships/chart" Target="../charts/chart67.xml"/><Relationship Id="rId42" Type="http://schemas.openxmlformats.org/officeDocument/2006/relationships/chart" Target="../charts/chart75.xml"/><Relationship Id="rId47" Type="http://schemas.openxmlformats.org/officeDocument/2006/relationships/chart" Target="../charts/chart80.xml"/><Relationship Id="rId50" Type="http://schemas.openxmlformats.org/officeDocument/2006/relationships/chart" Target="../charts/chart83.xml"/><Relationship Id="rId55" Type="http://schemas.openxmlformats.org/officeDocument/2006/relationships/chart" Target="../charts/chart88.xml"/><Relationship Id="rId63" Type="http://schemas.openxmlformats.org/officeDocument/2006/relationships/chart" Target="../charts/chart96.xml"/><Relationship Id="rId7" Type="http://schemas.openxmlformats.org/officeDocument/2006/relationships/chart" Target="../charts/chart40.xml"/><Relationship Id="rId2" Type="http://schemas.openxmlformats.org/officeDocument/2006/relationships/chart" Target="../charts/chart35.xml"/><Relationship Id="rId16" Type="http://schemas.openxmlformats.org/officeDocument/2006/relationships/chart" Target="../charts/chart49.xml"/><Relationship Id="rId29" Type="http://schemas.openxmlformats.org/officeDocument/2006/relationships/chart" Target="../charts/chart62.xml"/><Relationship Id="rId11" Type="http://schemas.openxmlformats.org/officeDocument/2006/relationships/chart" Target="../charts/chart44.xml"/><Relationship Id="rId24" Type="http://schemas.openxmlformats.org/officeDocument/2006/relationships/chart" Target="../charts/chart57.xml"/><Relationship Id="rId32" Type="http://schemas.openxmlformats.org/officeDocument/2006/relationships/chart" Target="../charts/chart65.xml"/><Relationship Id="rId37" Type="http://schemas.openxmlformats.org/officeDocument/2006/relationships/chart" Target="../charts/chart70.xml"/><Relationship Id="rId40" Type="http://schemas.openxmlformats.org/officeDocument/2006/relationships/chart" Target="../charts/chart73.xml"/><Relationship Id="rId45" Type="http://schemas.openxmlformats.org/officeDocument/2006/relationships/chart" Target="../charts/chart78.xml"/><Relationship Id="rId53" Type="http://schemas.openxmlformats.org/officeDocument/2006/relationships/chart" Target="../charts/chart86.xml"/><Relationship Id="rId58" Type="http://schemas.openxmlformats.org/officeDocument/2006/relationships/chart" Target="../charts/chart91.xml"/><Relationship Id="rId5" Type="http://schemas.openxmlformats.org/officeDocument/2006/relationships/chart" Target="../charts/chart38.xml"/><Relationship Id="rId61" Type="http://schemas.openxmlformats.org/officeDocument/2006/relationships/chart" Target="../charts/chart94.xml"/><Relationship Id="rId19" Type="http://schemas.openxmlformats.org/officeDocument/2006/relationships/chart" Target="../charts/chart52.xml"/><Relationship Id="rId14" Type="http://schemas.openxmlformats.org/officeDocument/2006/relationships/chart" Target="../charts/chart47.xml"/><Relationship Id="rId22" Type="http://schemas.openxmlformats.org/officeDocument/2006/relationships/chart" Target="../charts/chart55.xml"/><Relationship Id="rId27" Type="http://schemas.openxmlformats.org/officeDocument/2006/relationships/chart" Target="../charts/chart60.xml"/><Relationship Id="rId30" Type="http://schemas.openxmlformats.org/officeDocument/2006/relationships/chart" Target="../charts/chart63.xml"/><Relationship Id="rId35" Type="http://schemas.openxmlformats.org/officeDocument/2006/relationships/chart" Target="../charts/chart68.xml"/><Relationship Id="rId43" Type="http://schemas.openxmlformats.org/officeDocument/2006/relationships/chart" Target="../charts/chart76.xml"/><Relationship Id="rId48" Type="http://schemas.openxmlformats.org/officeDocument/2006/relationships/chart" Target="../charts/chart81.xml"/><Relationship Id="rId56" Type="http://schemas.openxmlformats.org/officeDocument/2006/relationships/chart" Target="../charts/chart89.xml"/><Relationship Id="rId64" Type="http://schemas.openxmlformats.org/officeDocument/2006/relationships/chart" Target="../charts/chart97.xml"/><Relationship Id="rId8" Type="http://schemas.openxmlformats.org/officeDocument/2006/relationships/chart" Target="../charts/chart41.xml"/><Relationship Id="rId51" Type="http://schemas.openxmlformats.org/officeDocument/2006/relationships/chart" Target="../charts/chart84.xml"/><Relationship Id="rId3" Type="http://schemas.openxmlformats.org/officeDocument/2006/relationships/chart" Target="../charts/chart36.xml"/><Relationship Id="rId12" Type="http://schemas.openxmlformats.org/officeDocument/2006/relationships/chart" Target="../charts/chart45.xml"/><Relationship Id="rId17" Type="http://schemas.openxmlformats.org/officeDocument/2006/relationships/chart" Target="../charts/chart50.xml"/><Relationship Id="rId25" Type="http://schemas.openxmlformats.org/officeDocument/2006/relationships/chart" Target="../charts/chart58.xml"/><Relationship Id="rId33" Type="http://schemas.openxmlformats.org/officeDocument/2006/relationships/chart" Target="../charts/chart66.xml"/><Relationship Id="rId38" Type="http://schemas.openxmlformats.org/officeDocument/2006/relationships/chart" Target="../charts/chart71.xml"/><Relationship Id="rId46" Type="http://schemas.openxmlformats.org/officeDocument/2006/relationships/chart" Target="../charts/chart79.xml"/><Relationship Id="rId59" Type="http://schemas.openxmlformats.org/officeDocument/2006/relationships/chart" Target="../charts/chart92.xml"/><Relationship Id="rId20" Type="http://schemas.openxmlformats.org/officeDocument/2006/relationships/chart" Target="../charts/chart53.xml"/><Relationship Id="rId41" Type="http://schemas.openxmlformats.org/officeDocument/2006/relationships/chart" Target="../charts/chart74.xml"/><Relationship Id="rId54" Type="http://schemas.openxmlformats.org/officeDocument/2006/relationships/chart" Target="../charts/chart87.xml"/><Relationship Id="rId62" Type="http://schemas.openxmlformats.org/officeDocument/2006/relationships/chart" Target="../charts/chart9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5" Type="http://schemas.openxmlformats.org/officeDocument/2006/relationships/chart" Target="../charts/chart48.xml"/><Relationship Id="rId23" Type="http://schemas.openxmlformats.org/officeDocument/2006/relationships/chart" Target="../charts/chart56.xml"/><Relationship Id="rId28" Type="http://schemas.openxmlformats.org/officeDocument/2006/relationships/chart" Target="../charts/chart61.xml"/><Relationship Id="rId36" Type="http://schemas.openxmlformats.org/officeDocument/2006/relationships/chart" Target="../charts/chart69.xml"/><Relationship Id="rId49" Type="http://schemas.openxmlformats.org/officeDocument/2006/relationships/chart" Target="../charts/chart82.xml"/><Relationship Id="rId57" Type="http://schemas.openxmlformats.org/officeDocument/2006/relationships/chart" Target="../charts/chart90.xml"/><Relationship Id="rId10" Type="http://schemas.openxmlformats.org/officeDocument/2006/relationships/chart" Target="../charts/chart43.xml"/><Relationship Id="rId31" Type="http://schemas.openxmlformats.org/officeDocument/2006/relationships/chart" Target="../charts/chart64.xml"/><Relationship Id="rId44" Type="http://schemas.openxmlformats.org/officeDocument/2006/relationships/chart" Target="../charts/chart77.xml"/><Relationship Id="rId52" Type="http://schemas.openxmlformats.org/officeDocument/2006/relationships/chart" Target="../charts/chart85.xml"/><Relationship Id="rId60" Type="http://schemas.openxmlformats.org/officeDocument/2006/relationships/chart" Target="../charts/chart9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9.xml"/><Relationship Id="rId1" Type="http://schemas.openxmlformats.org/officeDocument/2006/relationships/chart" Target="../charts/chart9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358140</xdr:colOff>
      <xdr:row>4</xdr:row>
      <xdr:rowOff>118110</xdr:rowOff>
    </xdr:from>
    <xdr:to>
      <xdr:col>22</xdr:col>
      <xdr:colOff>640080</xdr:colOff>
      <xdr:row>18</xdr:row>
      <xdr:rowOff>60960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0702DC6-7EE0-402C-8F45-97401C2659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358140</xdr:colOff>
      <xdr:row>43</xdr:row>
      <xdr:rowOff>118110</xdr:rowOff>
    </xdr:from>
    <xdr:to>
      <xdr:col>22</xdr:col>
      <xdr:colOff>640080</xdr:colOff>
      <xdr:row>57</xdr:row>
      <xdr:rowOff>60960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CB5FEDC-6904-480A-B6A7-A5EAC4655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358140</xdr:colOff>
      <xdr:row>81</xdr:row>
      <xdr:rowOff>118110</xdr:rowOff>
    </xdr:from>
    <xdr:to>
      <xdr:col>22</xdr:col>
      <xdr:colOff>640080</xdr:colOff>
      <xdr:row>95</xdr:row>
      <xdr:rowOff>60960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ADD9746-1C77-4530-9D9F-857828767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251460</xdr:colOff>
      <xdr:row>4</xdr:row>
      <xdr:rowOff>7620</xdr:rowOff>
    </xdr:from>
    <xdr:to>
      <xdr:col>29</xdr:col>
      <xdr:colOff>91440</xdr:colOff>
      <xdr:row>16</xdr:row>
      <xdr:rowOff>34290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E8E615C2-B9FD-459D-84E5-8362919D3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358140</xdr:colOff>
      <xdr:row>118</xdr:row>
      <xdr:rowOff>118110</xdr:rowOff>
    </xdr:from>
    <xdr:to>
      <xdr:col>22</xdr:col>
      <xdr:colOff>640080</xdr:colOff>
      <xdr:row>132</xdr:row>
      <xdr:rowOff>60960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F63C13B7-DDF8-45D0-9016-D2DD72764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358140</xdr:colOff>
      <xdr:row>136</xdr:row>
      <xdr:rowOff>118110</xdr:rowOff>
    </xdr:from>
    <xdr:to>
      <xdr:col>22</xdr:col>
      <xdr:colOff>640080</xdr:colOff>
      <xdr:row>150</xdr:row>
      <xdr:rowOff>60960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4582F0AB-5A10-4BBE-97E6-DB26F9846C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4</xdr:row>
      <xdr:rowOff>0</xdr:rowOff>
    </xdr:from>
    <xdr:to>
      <xdr:col>33</xdr:col>
      <xdr:colOff>632460</xdr:colOff>
      <xdr:row>16</xdr:row>
      <xdr:rowOff>26670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1CCB492-8A0F-429C-B2D0-909D82134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0</xdr:colOff>
      <xdr:row>17</xdr:row>
      <xdr:rowOff>0</xdr:rowOff>
    </xdr:from>
    <xdr:to>
      <xdr:col>28</xdr:col>
      <xdr:colOff>632460</xdr:colOff>
      <xdr:row>29</xdr:row>
      <xdr:rowOff>11430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BE0D8CF4-9CD4-4CA5-840C-6925678CF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30</xdr:col>
      <xdr:colOff>0</xdr:colOff>
      <xdr:row>17</xdr:row>
      <xdr:rowOff>0</xdr:rowOff>
    </xdr:from>
    <xdr:to>
      <xdr:col>33</xdr:col>
      <xdr:colOff>632460</xdr:colOff>
      <xdr:row>29</xdr:row>
      <xdr:rowOff>11430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6EA23479-D3F7-43D1-9737-1BEC3BB4E3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30</xdr:row>
      <xdr:rowOff>0</xdr:rowOff>
    </xdr:from>
    <xdr:to>
      <xdr:col>28</xdr:col>
      <xdr:colOff>632460</xdr:colOff>
      <xdr:row>42</xdr:row>
      <xdr:rowOff>34290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6004433E-90D6-4C74-B7AC-49308B7D4B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30</xdr:col>
      <xdr:colOff>0</xdr:colOff>
      <xdr:row>30</xdr:row>
      <xdr:rowOff>0</xdr:rowOff>
    </xdr:from>
    <xdr:to>
      <xdr:col>33</xdr:col>
      <xdr:colOff>632460</xdr:colOff>
      <xdr:row>42</xdr:row>
      <xdr:rowOff>34290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555AFADB-8A9E-4A27-9DE8-B01C1B83A0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0</xdr:colOff>
      <xdr:row>43</xdr:row>
      <xdr:rowOff>0</xdr:rowOff>
    </xdr:from>
    <xdr:to>
      <xdr:col>28</xdr:col>
      <xdr:colOff>632460</xdr:colOff>
      <xdr:row>55</xdr:row>
      <xdr:rowOff>26670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8D399C33-CEFF-4D6F-9375-A708B49AB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0</xdr:colOff>
      <xdr:row>43</xdr:row>
      <xdr:rowOff>0</xdr:rowOff>
    </xdr:from>
    <xdr:to>
      <xdr:col>33</xdr:col>
      <xdr:colOff>632460</xdr:colOff>
      <xdr:row>55</xdr:row>
      <xdr:rowOff>26670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95B86BE0-2C45-43DA-8EA2-073BBCF92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25</xdr:col>
      <xdr:colOff>0</xdr:colOff>
      <xdr:row>56</xdr:row>
      <xdr:rowOff>0</xdr:rowOff>
    </xdr:from>
    <xdr:to>
      <xdr:col>28</xdr:col>
      <xdr:colOff>632460</xdr:colOff>
      <xdr:row>68</xdr:row>
      <xdr:rowOff>11430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BE125FBF-79CD-4E99-ABD9-872D264AB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30</xdr:col>
      <xdr:colOff>0</xdr:colOff>
      <xdr:row>56</xdr:row>
      <xdr:rowOff>0</xdr:rowOff>
    </xdr:from>
    <xdr:to>
      <xdr:col>33</xdr:col>
      <xdr:colOff>632460</xdr:colOff>
      <xdr:row>68</xdr:row>
      <xdr:rowOff>11430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C84B9E49-F0CB-48EC-8EBC-1E647B079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0</xdr:colOff>
      <xdr:row>69</xdr:row>
      <xdr:rowOff>0</xdr:rowOff>
    </xdr:from>
    <xdr:to>
      <xdr:col>28</xdr:col>
      <xdr:colOff>632460</xdr:colOff>
      <xdr:row>81</xdr:row>
      <xdr:rowOff>34290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EF7F1A12-D7C1-4F91-B5C7-26201D6A8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30</xdr:col>
      <xdr:colOff>0</xdr:colOff>
      <xdr:row>69</xdr:row>
      <xdr:rowOff>0</xdr:rowOff>
    </xdr:from>
    <xdr:to>
      <xdr:col>33</xdr:col>
      <xdr:colOff>632460</xdr:colOff>
      <xdr:row>81</xdr:row>
      <xdr:rowOff>34290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CE16FE28-B49E-4B4D-87AA-DFBFF9B7F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0</xdr:colOff>
      <xdr:row>82</xdr:row>
      <xdr:rowOff>0</xdr:rowOff>
    </xdr:from>
    <xdr:to>
      <xdr:col>28</xdr:col>
      <xdr:colOff>632460</xdr:colOff>
      <xdr:row>94</xdr:row>
      <xdr:rowOff>19050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08C9368D-9253-4B09-BA6F-EF8B6E9922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30</xdr:col>
      <xdr:colOff>0</xdr:colOff>
      <xdr:row>82</xdr:row>
      <xdr:rowOff>0</xdr:rowOff>
    </xdr:from>
    <xdr:to>
      <xdr:col>33</xdr:col>
      <xdr:colOff>632460</xdr:colOff>
      <xdr:row>94</xdr:row>
      <xdr:rowOff>19050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11CC0C59-A491-4D90-A228-CA58DEE645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36</xdr:col>
      <xdr:colOff>0</xdr:colOff>
      <xdr:row>4</xdr:row>
      <xdr:rowOff>0</xdr:rowOff>
    </xdr:from>
    <xdr:to>
      <xdr:col>39</xdr:col>
      <xdr:colOff>632460</xdr:colOff>
      <xdr:row>16</xdr:row>
      <xdr:rowOff>26670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827624A7-D284-4E4D-A90F-6CFB32AE5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40</xdr:col>
      <xdr:colOff>0</xdr:colOff>
      <xdr:row>4</xdr:row>
      <xdr:rowOff>0</xdr:rowOff>
    </xdr:from>
    <xdr:to>
      <xdr:col>43</xdr:col>
      <xdr:colOff>632460</xdr:colOff>
      <xdr:row>16</xdr:row>
      <xdr:rowOff>26670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4921AF86-58DF-40A1-94D1-B064509F76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36</xdr:col>
      <xdr:colOff>0</xdr:colOff>
      <xdr:row>17</xdr:row>
      <xdr:rowOff>0</xdr:rowOff>
    </xdr:from>
    <xdr:to>
      <xdr:col>39</xdr:col>
      <xdr:colOff>632460</xdr:colOff>
      <xdr:row>29</xdr:row>
      <xdr:rowOff>11430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D1D29AFB-76A9-4983-92F4-3BEB7CFD3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40</xdr:col>
      <xdr:colOff>0</xdr:colOff>
      <xdr:row>17</xdr:row>
      <xdr:rowOff>0</xdr:rowOff>
    </xdr:from>
    <xdr:to>
      <xdr:col>43</xdr:col>
      <xdr:colOff>632460</xdr:colOff>
      <xdr:row>29</xdr:row>
      <xdr:rowOff>11430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130ED321-80B3-4B2B-8A1D-4E5E93330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36</xdr:col>
      <xdr:colOff>0</xdr:colOff>
      <xdr:row>30</xdr:row>
      <xdr:rowOff>0</xdr:rowOff>
    </xdr:from>
    <xdr:to>
      <xdr:col>39</xdr:col>
      <xdr:colOff>632460</xdr:colOff>
      <xdr:row>42</xdr:row>
      <xdr:rowOff>34290</xdr:rowOff>
    </xdr:to>
    <xdr:graphicFrame macro="">
      <xdr:nvGraphicFramePr>
        <xdr:cNvPr id="25" name="Diagramm 24">
          <a:extLst>
            <a:ext uri="{FF2B5EF4-FFF2-40B4-BE49-F238E27FC236}">
              <a16:creationId xmlns:a16="http://schemas.microsoft.com/office/drawing/2014/main" id="{0B3D420C-63C4-4A72-9B73-C0C61C3A6D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40</xdr:col>
      <xdr:colOff>0</xdr:colOff>
      <xdr:row>30</xdr:row>
      <xdr:rowOff>0</xdr:rowOff>
    </xdr:from>
    <xdr:to>
      <xdr:col>43</xdr:col>
      <xdr:colOff>632460</xdr:colOff>
      <xdr:row>42</xdr:row>
      <xdr:rowOff>34290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id="{74A05212-0206-47BA-9CBC-C2820046FF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36</xdr:col>
      <xdr:colOff>0</xdr:colOff>
      <xdr:row>43</xdr:row>
      <xdr:rowOff>0</xdr:rowOff>
    </xdr:from>
    <xdr:to>
      <xdr:col>39</xdr:col>
      <xdr:colOff>632460</xdr:colOff>
      <xdr:row>55</xdr:row>
      <xdr:rowOff>26670</xdr:rowOff>
    </xdr:to>
    <xdr:graphicFrame macro="">
      <xdr:nvGraphicFramePr>
        <xdr:cNvPr id="27" name="Diagramm 26">
          <a:extLst>
            <a:ext uri="{FF2B5EF4-FFF2-40B4-BE49-F238E27FC236}">
              <a16:creationId xmlns:a16="http://schemas.microsoft.com/office/drawing/2014/main" id="{D67722F8-0CA5-4C55-B625-1881A438AD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40</xdr:col>
      <xdr:colOff>0</xdr:colOff>
      <xdr:row>43</xdr:row>
      <xdr:rowOff>0</xdr:rowOff>
    </xdr:from>
    <xdr:to>
      <xdr:col>43</xdr:col>
      <xdr:colOff>632460</xdr:colOff>
      <xdr:row>55</xdr:row>
      <xdr:rowOff>26670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id="{01755A22-0670-48C6-AF12-2524656AB9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36</xdr:col>
      <xdr:colOff>0</xdr:colOff>
      <xdr:row>56</xdr:row>
      <xdr:rowOff>0</xdr:rowOff>
    </xdr:from>
    <xdr:to>
      <xdr:col>39</xdr:col>
      <xdr:colOff>632460</xdr:colOff>
      <xdr:row>68</xdr:row>
      <xdr:rowOff>11430</xdr:rowOff>
    </xdr:to>
    <xdr:graphicFrame macro="">
      <xdr:nvGraphicFramePr>
        <xdr:cNvPr id="29" name="Diagramm 28">
          <a:extLst>
            <a:ext uri="{FF2B5EF4-FFF2-40B4-BE49-F238E27FC236}">
              <a16:creationId xmlns:a16="http://schemas.microsoft.com/office/drawing/2014/main" id="{DADB9509-1D3A-472A-A02E-8784C0AC3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40</xdr:col>
      <xdr:colOff>0</xdr:colOff>
      <xdr:row>56</xdr:row>
      <xdr:rowOff>0</xdr:rowOff>
    </xdr:from>
    <xdr:to>
      <xdr:col>43</xdr:col>
      <xdr:colOff>632460</xdr:colOff>
      <xdr:row>68</xdr:row>
      <xdr:rowOff>11430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id="{DBF83EC8-9081-4987-AD31-8DC163E520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36</xdr:col>
      <xdr:colOff>0</xdr:colOff>
      <xdr:row>69</xdr:row>
      <xdr:rowOff>0</xdr:rowOff>
    </xdr:from>
    <xdr:to>
      <xdr:col>39</xdr:col>
      <xdr:colOff>632460</xdr:colOff>
      <xdr:row>81</xdr:row>
      <xdr:rowOff>34290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9DEEDBE6-04FF-4615-B37A-251A82E14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40</xdr:col>
      <xdr:colOff>0</xdr:colOff>
      <xdr:row>69</xdr:row>
      <xdr:rowOff>0</xdr:rowOff>
    </xdr:from>
    <xdr:to>
      <xdr:col>43</xdr:col>
      <xdr:colOff>632460</xdr:colOff>
      <xdr:row>81</xdr:row>
      <xdr:rowOff>34290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id="{E535F9AF-97A4-42AF-B003-71D8B5776B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36</xdr:col>
      <xdr:colOff>0</xdr:colOff>
      <xdr:row>82</xdr:row>
      <xdr:rowOff>0</xdr:rowOff>
    </xdr:from>
    <xdr:to>
      <xdr:col>39</xdr:col>
      <xdr:colOff>632460</xdr:colOff>
      <xdr:row>94</xdr:row>
      <xdr:rowOff>19050</xdr:rowOff>
    </xdr:to>
    <xdr:graphicFrame macro="">
      <xdr:nvGraphicFramePr>
        <xdr:cNvPr id="33" name="Diagramm 32">
          <a:extLst>
            <a:ext uri="{FF2B5EF4-FFF2-40B4-BE49-F238E27FC236}">
              <a16:creationId xmlns:a16="http://schemas.microsoft.com/office/drawing/2014/main" id="{2485F9EE-667D-4A8C-AEF4-24C347449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40</xdr:col>
      <xdr:colOff>0</xdr:colOff>
      <xdr:row>82</xdr:row>
      <xdr:rowOff>0</xdr:rowOff>
    </xdr:from>
    <xdr:to>
      <xdr:col>43</xdr:col>
      <xdr:colOff>632460</xdr:colOff>
      <xdr:row>94</xdr:row>
      <xdr:rowOff>19050</xdr:rowOff>
    </xdr:to>
    <xdr:graphicFrame macro="">
      <xdr:nvGraphicFramePr>
        <xdr:cNvPr id="34" name="Diagramm 33">
          <a:extLst>
            <a:ext uri="{FF2B5EF4-FFF2-40B4-BE49-F238E27FC236}">
              <a16:creationId xmlns:a16="http://schemas.microsoft.com/office/drawing/2014/main" id="{7BF892D6-815D-458D-BCF2-DB54C0E599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358140</xdr:colOff>
      <xdr:row>4</xdr:row>
      <xdr:rowOff>118110</xdr:rowOff>
    </xdr:from>
    <xdr:to>
      <xdr:col>25</xdr:col>
      <xdr:colOff>640080</xdr:colOff>
      <xdr:row>18</xdr:row>
      <xdr:rowOff>60960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2A1DEE2-313F-4063-A69F-FD17C7905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358140</xdr:colOff>
      <xdr:row>47</xdr:row>
      <xdr:rowOff>118110</xdr:rowOff>
    </xdr:from>
    <xdr:to>
      <xdr:col>25</xdr:col>
      <xdr:colOff>640080</xdr:colOff>
      <xdr:row>61</xdr:row>
      <xdr:rowOff>60960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9B9909BA-30BF-441A-997C-DBF0DEFF6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358140</xdr:colOff>
      <xdr:row>89</xdr:row>
      <xdr:rowOff>118110</xdr:rowOff>
    </xdr:from>
    <xdr:to>
      <xdr:col>25</xdr:col>
      <xdr:colOff>640080</xdr:colOff>
      <xdr:row>103</xdr:row>
      <xdr:rowOff>60960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E1C6077-23C1-46C1-B28B-ABA5C960F1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251460</xdr:colOff>
      <xdr:row>4</xdr:row>
      <xdr:rowOff>7620</xdr:rowOff>
    </xdr:from>
    <xdr:to>
      <xdr:col>32</xdr:col>
      <xdr:colOff>91440</xdr:colOff>
      <xdr:row>16</xdr:row>
      <xdr:rowOff>34290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7D028EF-CAF7-49AB-A780-41523D93A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358140</xdr:colOff>
      <xdr:row>131</xdr:row>
      <xdr:rowOff>118110</xdr:rowOff>
    </xdr:from>
    <xdr:to>
      <xdr:col>25</xdr:col>
      <xdr:colOff>640080</xdr:colOff>
      <xdr:row>145</xdr:row>
      <xdr:rowOff>60960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5CD3B5C1-4B39-417E-AA28-126AB50A9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358140</xdr:colOff>
      <xdr:row>149</xdr:row>
      <xdr:rowOff>118110</xdr:rowOff>
    </xdr:from>
    <xdr:to>
      <xdr:col>25</xdr:col>
      <xdr:colOff>640080</xdr:colOff>
      <xdr:row>163</xdr:row>
      <xdr:rowOff>60960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65732600-40C4-4FA9-82C9-766B3E9E6A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0</xdr:colOff>
      <xdr:row>4</xdr:row>
      <xdr:rowOff>0</xdr:rowOff>
    </xdr:from>
    <xdr:to>
      <xdr:col>36</xdr:col>
      <xdr:colOff>632460</xdr:colOff>
      <xdr:row>16</xdr:row>
      <xdr:rowOff>26670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DA782320-6B0A-4CD1-BD9E-274D4EA326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17</xdr:row>
      <xdr:rowOff>0</xdr:rowOff>
    </xdr:from>
    <xdr:to>
      <xdr:col>31</xdr:col>
      <xdr:colOff>632460</xdr:colOff>
      <xdr:row>29</xdr:row>
      <xdr:rowOff>11430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D3FCA811-8014-4D64-B5C0-53B1D03B8D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36</xdr:col>
      <xdr:colOff>632460</xdr:colOff>
      <xdr:row>29</xdr:row>
      <xdr:rowOff>11430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FDD12A08-E99F-47ED-AEB7-E48751376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0</xdr:colOff>
      <xdr:row>30</xdr:row>
      <xdr:rowOff>0</xdr:rowOff>
    </xdr:from>
    <xdr:to>
      <xdr:col>31</xdr:col>
      <xdr:colOff>632460</xdr:colOff>
      <xdr:row>46</xdr:row>
      <xdr:rowOff>34290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5EBBD44B-A139-4E4B-BA90-15010C883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0</xdr:colOff>
      <xdr:row>30</xdr:row>
      <xdr:rowOff>0</xdr:rowOff>
    </xdr:from>
    <xdr:to>
      <xdr:col>36</xdr:col>
      <xdr:colOff>632460</xdr:colOff>
      <xdr:row>46</xdr:row>
      <xdr:rowOff>34290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D2D35313-1B3A-479C-A58E-52DB67958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28</xdr:col>
      <xdr:colOff>0</xdr:colOff>
      <xdr:row>47</xdr:row>
      <xdr:rowOff>0</xdr:rowOff>
    </xdr:from>
    <xdr:to>
      <xdr:col>31</xdr:col>
      <xdr:colOff>632460</xdr:colOff>
      <xdr:row>59</xdr:row>
      <xdr:rowOff>26670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1FE346EE-B415-4E06-BA55-2AD5446CE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47</xdr:row>
      <xdr:rowOff>0</xdr:rowOff>
    </xdr:from>
    <xdr:to>
      <xdr:col>36</xdr:col>
      <xdr:colOff>632460</xdr:colOff>
      <xdr:row>59</xdr:row>
      <xdr:rowOff>26670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id="{3EAB0357-551D-4E7A-A0FA-6AE99C513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28</xdr:col>
      <xdr:colOff>0</xdr:colOff>
      <xdr:row>60</xdr:row>
      <xdr:rowOff>0</xdr:rowOff>
    </xdr:from>
    <xdr:to>
      <xdr:col>31</xdr:col>
      <xdr:colOff>632460</xdr:colOff>
      <xdr:row>72</xdr:row>
      <xdr:rowOff>11430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07AA7089-C835-43BC-A230-93D92AACC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0</xdr:colOff>
      <xdr:row>60</xdr:row>
      <xdr:rowOff>0</xdr:rowOff>
    </xdr:from>
    <xdr:to>
      <xdr:col>36</xdr:col>
      <xdr:colOff>632460</xdr:colOff>
      <xdr:row>72</xdr:row>
      <xdr:rowOff>11430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2E79C21C-34C3-47B5-9D68-F2E3CC68F7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28</xdr:col>
      <xdr:colOff>0</xdr:colOff>
      <xdr:row>73</xdr:row>
      <xdr:rowOff>0</xdr:rowOff>
    </xdr:from>
    <xdr:to>
      <xdr:col>31</xdr:col>
      <xdr:colOff>632460</xdr:colOff>
      <xdr:row>89</xdr:row>
      <xdr:rowOff>34290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C6A6463D-48DB-4FD9-B190-C1F9B58B0F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33</xdr:col>
      <xdr:colOff>0</xdr:colOff>
      <xdr:row>73</xdr:row>
      <xdr:rowOff>0</xdr:rowOff>
    </xdr:from>
    <xdr:to>
      <xdr:col>36</xdr:col>
      <xdr:colOff>632460</xdr:colOff>
      <xdr:row>89</xdr:row>
      <xdr:rowOff>34290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B8233263-D493-47F6-964E-AF2378B91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28</xdr:col>
      <xdr:colOff>0</xdr:colOff>
      <xdr:row>90</xdr:row>
      <xdr:rowOff>0</xdr:rowOff>
    </xdr:from>
    <xdr:to>
      <xdr:col>31</xdr:col>
      <xdr:colOff>632460</xdr:colOff>
      <xdr:row>102</xdr:row>
      <xdr:rowOff>19050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id="{DB7FD943-76EA-409D-BE56-59A078564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33</xdr:col>
      <xdr:colOff>0</xdr:colOff>
      <xdr:row>90</xdr:row>
      <xdr:rowOff>0</xdr:rowOff>
    </xdr:from>
    <xdr:to>
      <xdr:col>36</xdr:col>
      <xdr:colOff>632460</xdr:colOff>
      <xdr:row>102</xdr:row>
      <xdr:rowOff>19050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id="{6EC9A68B-E84A-4B56-9FCF-55067C591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39</xdr:col>
      <xdr:colOff>0</xdr:colOff>
      <xdr:row>4</xdr:row>
      <xdr:rowOff>0</xdr:rowOff>
    </xdr:from>
    <xdr:to>
      <xdr:col>42</xdr:col>
      <xdr:colOff>632460</xdr:colOff>
      <xdr:row>16</xdr:row>
      <xdr:rowOff>26670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id="{85986945-6D06-4171-8EA3-02549FDE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43</xdr:col>
      <xdr:colOff>0</xdr:colOff>
      <xdr:row>4</xdr:row>
      <xdr:rowOff>0</xdr:rowOff>
    </xdr:from>
    <xdr:to>
      <xdr:col>46</xdr:col>
      <xdr:colOff>632460</xdr:colOff>
      <xdr:row>16</xdr:row>
      <xdr:rowOff>26670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9DBC8554-F7E0-4FC3-872D-23CD1A9CC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39</xdr:col>
      <xdr:colOff>0</xdr:colOff>
      <xdr:row>17</xdr:row>
      <xdr:rowOff>0</xdr:rowOff>
    </xdr:from>
    <xdr:to>
      <xdr:col>42</xdr:col>
      <xdr:colOff>632460</xdr:colOff>
      <xdr:row>29</xdr:row>
      <xdr:rowOff>11430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id="{354F1542-01E4-47D2-AC33-802BB39B0E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43</xdr:col>
      <xdr:colOff>0</xdr:colOff>
      <xdr:row>17</xdr:row>
      <xdr:rowOff>0</xdr:rowOff>
    </xdr:from>
    <xdr:to>
      <xdr:col>46</xdr:col>
      <xdr:colOff>632460</xdr:colOff>
      <xdr:row>29</xdr:row>
      <xdr:rowOff>11430</xdr:rowOff>
    </xdr:to>
    <xdr:graphicFrame macro="">
      <xdr:nvGraphicFramePr>
        <xdr:cNvPr id="24" name="Diagramm 23">
          <a:extLst>
            <a:ext uri="{FF2B5EF4-FFF2-40B4-BE49-F238E27FC236}">
              <a16:creationId xmlns:a16="http://schemas.microsoft.com/office/drawing/2014/main" id="{367BF976-C2D3-45B7-94ED-401847596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39</xdr:col>
      <xdr:colOff>0</xdr:colOff>
      <xdr:row>30</xdr:row>
      <xdr:rowOff>0</xdr:rowOff>
    </xdr:from>
    <xdr:to>
      <xdr:col>42</xdr:col>
      <xdr:colOff>632460</xdr:colOff>
      <xdr:row>46</xdr:row>
      <xdr:rowOff>34290</xdr:rowOff>
    </xdr:to>
    <xdr:graphicFrame macro="">
      <xdr:nvGraphicFramePr>
        <xdr:cNvPr id="25" name="Diagramm 24">
          <a:extLst>
            <a:ext uri="{FF2B5EF4-FFF2-40B4-BE49-F238E27FC236}">
              <a16:creationId xmlns:a16="http://schemas.microsoft.com/office/drawing/2014/main" id="{F7ED46AA-0B77-4FFA-B6FF-C8A1278C54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43</xdr:col>
      <xdr:colOff>0</xdr:colOff>
      <xdr:row>30</xdr:row>
      <xdr:rowOff>0</xdr:rowOff>
    </xdr:from>
    <xdr:to>
      <xdr:col>46</xdr:col>
      <xdr:colOff>632460</xdr:colOff>
      <xdr:row>46</xdr:row>
      <xdr:rowOff>34290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id="{63387BBB-F260-4290-88AD-0EFFF4D976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39</xdr:col>
      <xdr:colOff>0</xdr:colOff>
      <xdr:row>47</xdr:row>
      <xdr:rowOff>0</xdr:rowOff>
    </xdr:from>
    <xdr:to>
      <xdr:col>42</xdr:col>
      <xdr:colOff>632460</xdr:colOff>
      <xdr:row>59</xdr:row>
      <xdr:rowOff>26670</xdr:rowOff>
    </xdr:to>
    <xdr:graphicFrame macro="">
      <xdr:nvGraphicFramePr>
        <xdr:cNvPr id="27" name="Diagramm 26">
          <a:extLst>
            <a:ext uri="{FF2B5EF4-FFF2-40B4-BE49-F238E27FC236}">
              <a16:creationId xmlns:a16="http://schemas.microsoft.com/office/drawing/2014/main" id="{22BAC9BB-7FCE-4650-A71D-F8F9D4EAB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43</xdr:col>
      <xdr:colOff>0</xdr:colOff>
      <xdr:row>47</xdr:row>
      <xdr:rowOff>0</xdr:rowOff>
    </xdr:from>
    <xdr:to>
      <xdr:col>46</xdr:col>
      <xdr:colOff>632460</xdr:colOff>
      <xdr:row>59</xdr:row>
      <xdr:rowOff>26670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id="{21837A52-C91C-402C-8779-DAA4C646FA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39</xdr:col>
      <xdr:colOff>0</xdr:colOff>
      <xdr:row>60</xdr:row>
      <xdr:rowOff>0</xdr:rowOff>
    </xdr:from>
    <xdr:to>
      <xdr:col>42</xdr:col>
      <xdr:colOff>632460</xdr:colOff>
      <xdr:row>72</xdr:row>
      <xdr:rowOff>11430</xdr:rowOff>
    </xdr:to>
    <xdr:graphicFrame macro="">
      <xdr:nvGraphicFramePr>
        <xdr:cNvPr id="29" name="Diagramm 28">
          <a:extLst>
            <a:ext uri="{FF2B5EF4-FFF2-40B4-BE49-F238E27FC236}">
              <a16:creationId xmlns:a16="http://schemas.microsoft.com/office/drawing/2014/main" id="{095E7313-2367-4566-8165-CA5465810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43</xdr:col>
      <xdr:colOff>0</xdr:colOff>
      <xdr:row>60</xdr:row>
      <xdr:rowOff>0</xdr:rowOff>
    </xdr:from>
    <xdr:to>
      <xdr:col>46</xdr:col>
      <xdr:colOff>632460</xdr:colOff>
      <xdr:row>72</xdr:row>
      <xdr:rowOff>11430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id="{F970D2FB-F2BC-443F-8612-0B7BEBAEE8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39</xdr:col>
      <xdr:colOff>0</xdr:colOff>
      <xdr:row>73</xdr:row>
      <xdr:rowOff>0</xdr:rowOff>
    </xdr:from>
    <xdr:to>
      <xdr:col>42</xdr:col>
      <xdr:colOff>632460</xdr:colOff>
      <xdr:row>89</xdr:row>
      <xdr:rowOff>34290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id="{EE82EAE7-E4A4-483D-A061-7A7C799BA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43</xdr:col>
      <xdr:colOff>0</xdr:colOff>
      <xdr:row>73</xdr:row>
      <xdr:rowOff>0</xdr:rowOff>
    </xdr:from>
    <xdr:to>
      <xdr:col>46</xdr:col>
      <xdr:colOff>632460</xdr:colOff>
      <xdr:row>89</xdr:row>
      <xdr:rowOff>34290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id="{3EE9E656-A91E-4AD8-9F6D-1EC7870C1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39</xdr:col>
      <xdr:colOff>0</xdr:colOff>
      <xdr:row>90</xdr:row>
      <xdr:rowOff>0</xdr:rowOff>
    </xdr:from>
    <xdr:to>
      <xdr:col>42</xdr:col>
      <xdr:colOff>632460</xdr:colOff>
      <xdr:row>102</xdr:row>
      <xdr:rowOff>19050</xdr:rowOff>
    </xdr:to>
    <xdr:graphicFrame macro="">
      <xdr:nvGraphicFramePr>
        <xdr:cNvPr id="33" name="Diagramm 32">
          <a:extLst>
            <a:ext uri="{FF2B5EF4-FFF2-40B4-BE49-F238E27FC236}">
              <a16:creationId xmlns:a16="http://schemas.microsoft.com/office/drawing/2014/main" id="{E3003311-AEEA-4157-BDEB-CE744BBB8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43</xdr:col>
      <xdr:colOff>0</xdr:colOff>
      <xdr:row>90</xdr:row>
      <xdr:rowOff>0</xdr:rowOff>
    </xdr:from>
    <xdr:to>
      <xdr:col>46</xdr:col>
      <xdr:colOff>632460</xdr:colOff>
      <xdr:row>102</xdr:row>
      <xdr:rowOff>19050</xdr:rowOff>
    </xdr:to>
    <xdr:graphicFrame macro="">
      <xdr:nvGraphicFramePr>
        <xdr:cNvPr id="34" name="Diagramm 33">
          <a:extLst>
            <a:ext uri="{FF2B5EF4-FFF2-40B4-BE49-F238E27FC236}">
              <a16:creationId xmlns:a16="http://schemas.microsoft.com/office/drawing/2014/main" id="{8494C960-AF21-4A12-B68F-C1A406B4C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20</xdr:col>
      <xdr:colOff>480760</xdr:colOff>
      <xdr:row>22</xdr:row>
      <xdr:rowOff>109352</xdr:rowOff>
    </xdr:from>
    <xdr:to>
      <xdr:col>25</xdr:col>
      <xdr:colOff>762700</xdr:colOff>
      <xdr:row>36</xdr:row>
      <xdr:rowOff>52202</xdr:rowOff>
    </xdr:to>
    <xdr:graphicFrame macro="">
      <xdr:nvGraphicFramePr>
        <xdr:cNvPr id="35" name="Diagramm 34">
          <a:extLst>
            <a:ext uri="{FF2B5EF4-FFF2-40B4-BE49-F238E27FC236}">
              <a16:creationId xmlns:a16="http://schemas.microsoft.com/office/drawing/2014/main" id="{CCA004A0-3658-45A7-9FCA-374A64AB84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20</xdr:col>
      <xdr:colOff>480760</xdr:colOff>
      <xdr:row>66</xdr:row>
      <xdr:rowOff>109352</xdr:rowOff>
    </xdr:from>
    <xdr:to>
      <xdr:col>25</xdr:col>
      <xdr:colOff>762700</xdr:colOff>
      <xdr:row>80</xdr:row>
      <xdr:rowOff>52202</xdr:rowOff>
    </xdr:to>
    <xdr:graphicFrame macro="">
      <xdr:nvGraphicFramePr>
        <xdr:cNvPr id="36" name="Diagramm 35">
          <a:extLst>
            <a:ext uri="{FF2B5EF4-FFF2-40B4-BE49-F238E27FC236}">
              <a16:creationId xmlns:a16="http://schemas.microsoft.com/office/drawing/2014/main" id="{1F8E3D29-4EF7-4950-B470-FD68E5583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20</xdr:col>
      <xdr:colOff>315310</xdr:colOff>
      <xdr:row>107</xdr:row>
      <xdr:rowOff>43793</xdr:rowOff>
    </xdr:from>
    <xdr:to>
      <xdr:col>25</xdr:col>
      <xdr:colOff>597250</xdr:colOff>
      <xdr:row>120</xdr:row>
      <xdr:rowOff>170574</xdr:rowOff>
    </xdr:to>
    <xdr:graphicFrame macro="">
      <xdr:nvGraphicFramePr>
        <xdr:cNvPr id="37" name="Diagramm 36">
          <a:extLst>
            <a:ext uri="{FF2B5EF4-FFF2-40B4-BE49-F238E27FC236}">
              <a16:creationId xmlns:a16="http://schemas.microsoft.com/office/drawing/2014/main" id="{8BF2C162-3287-4C91-A0CC-C9D37524C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49</xdr:col>
      <xdr:colOff>0</xdr:colOff>
      <xdr:row>4</xdr:row>
      <xdr:rowOff>0</xdr:rowOff>
    </xdr:from>
    <xdr:to>
      <xdr:col>52</xdr:col>
      <xdr:colOff>628255</xdr:colOff>
      <xdr:row>16</xdr:row>
      <xdr:rowOff>26670</xdr:rowOff>
    </xdr:to>
    <xdr:graphicFrame macro="">
      <xdr:nvGraphicFramePr>
        <xdr:cNvPr id="38" name="Diagramm 37">
          <a:extLst>
            <a:ext uri="{FF2B5EF4-FFF2-40B4-BE49-F238E27FC236}">
              <a16:creationId xmlns:a16="http://schemas.microsoft.com/office/drawing/2014/main" id="{7FE64EB9-C006-4FA7-8B63-65EF53FAB2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53</xdr:col>
      <xdr:colOff>0</xdr:colOff>
      <xdr:row>4</xdr:row>
      <xdr:rowOff>0</xdr:rowOff>
    </xdr:from>
    <xdr:to>
      <xdr:col>56</xdr:col>
      <xdr:colOff>628256</xdr:colOff>
      <xdr:row>16</xdr:row>
      <xdr:rowOff>26670</xdr:rowOff>
    </xdr:to>
    <xdr:graphicFrame macro="">
      <xdr:nvGraphicFramePr>
        <xdr:cNvPr id="39" name="Diagramm 38">
          <a:extLst>
            <a:ext uri="{FF2B5EF4-FFF2-40B4-BE49-F238E27FC236}">
              <a16:creationId xmlns:a16="http://schemas.microsoft.com/office/drawing/2014/main" id="{A722B766-0E49-490F-9D30-EB30DB9C0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49</xdr:col>
      <xdr:colOff>0</xdr:colOff>
      <xdr:row>17</xdr:row>
      <xdr:rowOff>0</xdr:rowOff>
    </xdr:from>
    <xdr:to>
      <xdr:col>52</xdr:col>
      <xdr:colOff>632460</xdr:colOff>
      <xdr:row>29</xdr:row>
      <xdr:rowOff>11430</xdr:rowOff>
    </xdr:to>
    <xdr:graphicFrame macro="">
      <xdr:nvGraphicFramePr>
        <xdr:cNvPr id="40" name="Diagramm 39">
          <a:extLst>
            <a:ext uri="{FF2B5EF4-FFF2-40B4-BE49-F238E27FC236}">
              <a16:creationId xmlns:a16="http://schemas.microsoft.com/office/drawing/2014/main" id="{78FCF77B-FD99-4B46-B03F-1A8DB6149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53</xdr:col>
      <xdr:colOff>0</xdr:colOff>
      <xdr:row>17</xdr:row>
      <xdr:rowOff>0</xdr:rowOff>
    </xdr:from>
    <xdr:to>
      <xdr:col>56</xdr:col>
      <xdr:colOff>632461</xdr:colOff>
      <xdr:row>29</xdr:row>
      <xdr:rowOff>11430</xdr:rowOff>
    </xdr:to>
    <xdr:graphicFrame macro="">
      <xdr:nvGraphicFramePr>
        <xdr:cNvPr id="41" name="Diagramm 40">
          <a:extLst>
            <a:ext uri="{FF2B5EF4-FFF2-40B4-BE49-F238E27FC236}">
              <a16:creationId xmlns:a16="http://schemas.microsoft.com/office/drawing/2014/main" id="{905FD95F-3F53-4015-A6C9-A48E190E1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49</xdr:col>
      <xdr:colOff>0</xdr:colOff>
      <xdr:row>30</xdr:row>
      <xdr:rowOff>0</xdr:rowOff>
    </xdr:from>
    <xdr:to>
      <xdr:col>52</xdr:col>
      <xdr:colOff>632460</xdr:colOff>
      <xdr:row>46</xdr:row>
      <xdr:rowOff>34290</xdr:rowOff>
    </xdr:to>
    <xdr:graphicFrame macro="">
      <xdr:nvGraphicFramePr>
        <xdr:cNvPr id="42" name="Diagramm 41">
          <a:extLst>
            <a:ext uri="{FF2B5EF4-FFF2-40B4-BE49-F238E27FC236}">
              <a16:creationId xmlns:a16="http://schemas.microsoft.com/office/drawing/2014/main" id="{08601676-F207-4D8E-AC2A-E5C44CA2E9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53</xdr:col>
      <xdr:colOff>0</xdr:colOff>
      <xdr:row>30</xdr:row>
      <xdr:rowOff>0</xdr:rowOff>
    </xdr:from>
    <xdr:to>
      <xdr:col>56</xdr:col>
      <xdr:colOff>632461</xdr:colOff>
      <xdr:row>46</xdr:row>
      <xdr:rowOff>34290</xdr:rowOff>
    </xdr:to>
    <xdr:graphicFrame macro="">
      <xdr:nvGraphicFramePr>
        <xdr:cNvPr id="43" name="Diagramm 42">
          <a:extLst>
            <a:ext uri="{FF2B5EF4-FFF2-40B4-BE49-F238E27FC236}">
              <a16:creationId xmlns:a16="http://schemas.microsoft.com/office/drawing/2014/main" id="{120E6847-F577-44AC-83B2-4755CD8CE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49</xdr:col>
      <xdr:colOff>0</xdr:colOff>
      <xdr:row>47</xdr:row>
      <xdr:rowOff>0</xdr:rowOff>
    </xdr:from>
    <xdr:to>
      <xdr:col>52</xdr:col>
      <xdr:colOff>632460</xdr:colOff>
      <xdr:row>59</xdr:row>
      <xdr:rowOff>26670</xdr:rowOff>
    </xdr:to>
    <xdr:graphicFrame macro="">
      <xdr:nvGraphicFramePr>
        <xdr:cNvPr id="44" name="Diagramm 43">
          <a:extLst>
            <a:ext uri="{FF2B5EF4-FFF2-40B4-BE49-F238E27FC236}">
              <a16:creationId xmlns:a16="http://schemas.microsoft.com/office/drawing/2014/main" id="{C6CD9918-D72C-4217-AEA8-2C3AE6FFC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53</xdr:col>
      <xdr:colOff>0</xdr:colOff>
      <xdr:row>47</xdr:row>
      <xdr:rowOff>0</xdr:rowOff>
    </xdr:from>
    <xdr:to>
      <xdr:col>56</xdr:col>
      <xdr:colOff>632461</xdr:colOff>
      <xdr:row>59</xdr:row>
      <xdr:rowOff>26670</xdr:rowOff>
    </xdr:to>
    <xdr:graphicFrame macro="">
      <xdr:nvGraphicFramePr>
        <xdr:cNvPr id="45" name="Diagramm 44">
          <a:extLst>
            <a:ext uri="{FF2B5EF4-FFF2-40B4-BE49-F238E27FC236}">
              <a16:creationId xmlns:a16="http://schemas.microsoft.com/office/drawing/2014/main" id="{F560273C-887C-4C2E-BD6F-5E78D59CC2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49</xdr:col>
      <xdr:colOff>0</xdr:colOff>
      <xdr:row>60</xdr:row>
      <xdr:rowOff>0</xdr:rowOff>
    </xdr:from>
    <xdr:to>
      <xdr:col>52</xdr:col>
      <xdr:colOff>632460</xdr:colOff>
      <xdr:row>72</xdr:row>
      <xdr:rowOff>11430</xdr:rowOff>
    </xdr:to>
    <xdr:graphicFrame macro="">
      <xdr:nvGraphicFramePr>
        <xdr:cNvPr id="46" name="Diagramm 45">
          <a:extLst>
            <a:ext uri="{FF2B5EF4-FFF2-40B4-BE49-F238E27FC236}">
              <a16:creationId xmlns:a16="http://schemas.microsoft.com/office/drawing/2014/main" id="{2936067D-3B29-4546-86CF-9EEC96F6A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53</xdr:col>
      <xdr:colOff>0</xdr:colOff>
      <xdr:row>60</xdr:row>
      <xdr:rowOff>0</xdr:rowOff>
    </xdr:from>
    <xdr:to>
      <xdr:col>56</xdr:col>
      <xdr:colOff>632461</xdr:colOff>
      <xdr:row>72</xdr:row>
      <xdr:rowOff>11430</xdr:rowOff>
    </xdr:to>
    <xdr:graphicFrame macro="">
      <xdr:nvGraphicFramePr>
        <xdr:cNvPr id="47" name="Diagramm 46">
          <a:extLst>
            <a:ext uri="{FF2B5EF4-FFF2-40B4-BE49-F238E27FC236}">
              <a16:creationId xmlns:a16="http://schemas.microsoft.com/office/drawing/2014/main" id="{21AEAD48-3CDC-4133-8826-3B352C99A0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49</xdr:col>
      <xdr:colOff>0</xdr:colOff>
      <xdr:row>73</xdr:row>
      <xdr:rowOff>0</xdr:rowOff>
    </xdr:from>
    <xdr:to>
      <xdr:col>52</xdr:col>
      <xdr:colOff>632460</xdr:colOff>
      <xdr:row>89</xdr:row>
      <xdr:rowOff>34290</xdr:rowOff>
    </xdr:to>
    <xdr:graphicFrame macro="">
      <xdr:nvGraphicFramePr>
        <xdr:cNvPr id="48" name="Diagramm 47">
          <a:extLst>
            <a:ext uri="{FF2B5EF4-FFF2-40B4-BE49-F238E27FC236}">
              <a16:creationId xmlns:a16="http://schemas.microsoft.com/office/drawing/2014/main" id="{0FA24C30-E985-4753-A7C7-2E07ECBFD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53</xdr:col>
      <xdr:colOff>0</xdr:colOff>
      <xdr:row>73</xdr:row>
      <xdr:rowOff>0</xdr:rowOff>
    </xdr:from>
    <xdr:to>
      <xdr:col>56</xdr:col>
      <xdr:colOff>632461</xdr:colOff>
      <xdr:row>89</xdr:row>
      <xdr:rowOff>34290</xdr:rowOff>
    </xdr:to>
    <xdr:graphicFrame macro="">
      <xdr:nvGraphicFramePr>
        <xdr:cNvPr id="49" name="Diagramm 48">
          <a:extLst>
            <a:ext uri="{FF2B5EF4-FFF2-40B4-BE49-F238E27FC236}">
              <a16:creationId xmlns:a16="http://schemas.microsoft.com/office/drawing/2014/main" id="{DF57816C-7E48-4A30-9B4C-A48DF175F8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49</xdr:col>
      <xdr:colOff>0</xdr:colOff>
      <xdr:row>90</xdr:row>
      <xdr:rowOff>0</xdr:rowOff>
    </xdr:from>
    <xdr:to>
      <xdr:col>52</xdr:col>
      <xdr:colOff>632460</xdr:colOff>
      <xdr:row>102</xdr:row>
      <xdr:rowOff>19050</xdr:rowOff>
    </xdr:to>
    <xdr:graphicFrame macro="">
      <xdr:nvGraphicFramePr>
        <xdr:cNvPr id="50" name="Diagramm 49">
          <a:extLst>
            <a:ext uri="{FF2B5EF4-FFF2-40B4-BE49-F238E27FC236}">
              <a16:creationId xmlns:a16="http://schemas.microsoft.com/office/drawing/2014/main" id="{81786A17-D5D5-4396-A105-FA5C12D27C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53</xdr:col>
      <xdr:colOff>0</xdr:colOff>
      <xdr:row>90</xdr:row>
      <xdr:rowOff>0</xdr:rowOff>
    </xdr:from>
    <xdr:to>
      <xdr:col>56</xdr:col>
      <xdr:colOff>632461</xdr:colOff>
      <xdr:row>102</xdr:row>
      <xdr:rowOff>19050</xdr:rowOff>
    </xdr:to>
    <xdr:graphicFrame macro="">
      <xdr:nvGraphicFramePr>
        <xdr:cNvPr id="51" name="Diagramm 50">
          <a:extLst>
            <a:ext uri="{FF2B5EF4-FFF2-40B4-BE49-F238E27FC236}">
              <a16:creationId xmlns:a16="http://schemas.microsoft.com/office/drawing/2014/main" id="{DC0CC382-527B-4E1E-A159-59EEF6758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59</xdr:col>
      <xdr:colOff>0</xdr:colOff>
      <xdr:row>4</xdr:row>
      <xdr:rowOff>0</xdr:rowOff>
    </xdr:from>
    <xdr:to>
      <xdr:col>62</xdr:col>
      <xdr:colOff>632461</xdr:colOff>
      <xdr:row>16</xdr:row>
      <xdr:rowOff>26670</xdr:rowOff>
    </xdr:to>
    <xdr:graphicFrame macro="">
      <xdr:nvGraphicFramePr>
        <xdr:cNvPr id="52" name="Diagramm 51">
          <a:extLst>
            <a:ext uri="{FF2B5EF4-FFF2-40B4-BE49-F238E27FC236}">
              <a16:creationId xmlns:a16="http://schemas.microsoft.com/office/drawing/2014/main" id="{F4371865-4654-4D23-9AFC-559853A03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63</xdr:col>
      <xdr:colOff>0</xdr:colOff>
      <xdr:row>4</xdr:row>
      <xdr:rowOff>0</xdr:rowOff>
    </xdr:from>
    <xdr:to>
      <xdr:col>66</xdr:col>
      <xdr:colOff>632460</xdr:colOff>
      <xdr:row>16</xdr:row>
      <xdr:rowOff>26670</xdr:rowOff>
    </xdr:to>
    <xdr:graphicFrame macro="">
      <xdr:nvGraphicFramePr>
        <xdr:cNvPr id="53" name="Diagramm 52">
          <a:extLst>
            <a:ext uri="{FF2B5EF4-FFF2-40B4-BE49-F238E27FC236}">
              <a16:creationId xmlns:a16="http://schemas.microsoft.com/office/drawing/2014/main" id="{FAD013D6-BA77-4165-A6A4-D2FED233BD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59</xdr:col>
      <xdr:colOff>0</xdr:colOff>
      <xdr:row>17</xdr:row>
      <xdr:rowOff>0</xdr:rowOff>
    </xdr:from>
    <xdr:to>
      <xdr:col>62</xdr:col>
      <xdr:colOff>632461</xdr:colOff>
      <xdr:row>29</xdr:row>
      <xdr:rowOff>11430</xdr:rowOff>
    </xdr:to>
    <xdr:graphicFrame macro="">
      <xdr:nvGraphicFramePr>
        <xdr:cNvPr id="54" name="Diagramm 53">
          <a:extLst>
            <a:ext uri="{FF2B5EF4-FFF2-40B4-BE49-F238E27FC236}">
              <a16:creationId xmlns:a16="http://schemas.microsoft.com/office/drawing/2014/main" id="{3B007C21-8F45-41A5-9B34-696FC6396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63</xdr:col>
      <xdr:colOff>0</xdr:colOff>
      <xdr:row>17</xdr:row>
      <xdr:rowOff>0</xdr:rowOff>
    </xdr:from>
    <xdr:to>
      <xdr:col>66</xdr:col>
      <xdr:colOff>632460</xdr:colOff>
      <xdr:row>29</xdr:row>
      <xdr:rowOff>11430</xdr:rowOff>
    </xdr:to>
    <xdr:graphicFrame macro="">
      <xdr:nvGraphicFramePr>
        <xdr:cNvPr id="55" name="Diagramm 54">
          <a:extLst>
            <a:ext uri="{FF2B5EF4-FFF2-40B4-BE49-F238E27FC236}">
              <a16:creationId xmlns:a16="http://schemas.microsoft.com/office/drawing/2014/main" id="{13CA937F-789C-4F79-AD78-BAA818148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59</xdr:col>
      <xdr:colOff>0</xdr:colOff>
      <xdr:row>30</xdr:row>
      <xdr:rowOff>0</xdr:rowOff>
    </xdr:from>
    <xdr:to>
      <xdr:col>62</xdr:col>
      <xdr:colOff>632461</xdr:colOff>
      <xdr:row>46</xdr:row>
      <xdr:rowOff>34290</xdr:rowOff>
    </xdr:to>
    <xdr:graphicFrame macro="">
      <xdr:nvGraphicFramePr>
        <xdr:cNvPr id="56" name="Diagramm 55">
          <a:extLst>
            <a:ext uri="{FF2B5EF4-FFF2-40B4-BE49-F238E27FC236}">
              <a16:creationId xmlns:a16="http://schemas.microsoft.com/office/drawing/2014/main" id="{39A36F10-1CC8-484D-B885-D43C6589C5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63</xdr:col>
      <xdr:colOff>0</xdr:colOff>
      <xdr:row>30</xdr:row>
      <xdr:rowOff>0</xdr:rowOff>
    </xdr:from>
    <xdr:to>
      <xdr:col>66</xdr:col>
      <xdr:colOff>632460</xdr:colOff>
      <xdr:row>46</xdr:row>
      <xdr:rowOff>34290</xdr:rowOff>
    </xdr:to>
    <xdr:graphicFrame macro="">
      <xdr:nvGraphicFramePr>
        <xdr:cNvPr id="57" name="Diagramm 56">
          <a:extLst>
            <a:ext uri="{FF2B5EF4-FFF2-40B4-BE49-F238E27FC236}">
              <a16:creationId xmlns:a16="http://schemas.microsoft.com/office/drawing/2014/main" id="{FCB78969-822A-44D2-95BA-DE8CC6020F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59</xdr:col>
      <xdr:colOff>0</xdr:colOff>
      <xdr:row>47</xdr:row>
      <xdr:rowOff>0</xdr:rowOff>
    </xdr:from>
    <xdr:to>
      <xdr:col>62</xdr:col>
      <xdr:colOff>632461</xdr:colOff>
      <xdr:row>59</xdr:row>
      <xdr:rowOff>26670</xdr:rowOff>
    </xdr:to>
    <xdr:graphicFrame macro="">
      <xdr:nvGraphicFramePr>
        <xdr:cNvPr id="58" name="Diagramm 57">
          <a:extLst>
            <a:ext uri="{FF2B5EF4-FFF2-40B4-BE49-F238E27FC236}">
              <a16:creationId xmlns:a16="http://schemas.microsoft.com/office/drawing/2014/main" id="{807DEB34-7D53-4A54-9080-F77D25705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63</xdr:col>
      <xdr:colOff>0</xdr:colOff>
      <xdr:row>47</xdr:row>
      <xdr:rowOff>0</xdr:rowOff>
    </xdr:from>
    <xdr:to>
      <xdr:col>66</xdr:col>
      <xdr:colOff>632460</xdr:colOff>
      <xdr:row>59</xdr:row>
      <xdr:rowOff>26670</xdr:rowOff>
    </xdr:to>
    <xdr:graphicFrame macro="">
      <xdr:nvGraphicFramePr>
        <xdr:cNvPr id="59" name="Diagramm 58">
          <a:extLst>
            <a:ext uri="{FF2B5EF4-FFF2-40B4-BE49-F238E27FC236}">
              <a16:creationId xmlns:a16="http://schemas.microsoft.com/office/drawing/2014/main" id="{D5E2DEFD-79D1-4F6A-81B3-F4CD4B482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59</xdr:col>
      <xdr:colOff>0</xdr:colOff>
      <xdr:row>60</xdr:row>
      <xdr:rowOff>0</xdr:rowOff>
    </xdr:from>
    <xdr:to>
      <xdr:col>62</xdr:col>
      <xdr:colOff>632461</xdr:colOff>
      <xdr:row>72</xdr:row>
      <xdr:rowOff>11430</xdr:rowOff>
    </xdr:to>
    <xdr:graphicFrame macro="">
      <xdr:nvGraphicFramePr>
        <xdr:cNvPr id="60" name="Diagramm 59">
          <a:extLst>
            <a:ext uri="{FF2B5EF4-FFF2-40B4-BE49-F238E27FC236}">
              <a16:creationId xmlns:a16="http://schemas.microsoft.com/office/drawing/2014/main" id="{8D59B996-75B5-4363-8155-40CA11B08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63</xdr:col>
      <xdr:colOff>0</xdr:colOff>
      <xdr:row>60</xdr:row>
      <xdr:rowOff>0</xdr:rowOff>
    </xdr:from>
    <xdr:to>
      <xdr:col>66</xdr:col>
      <xdr:colOff>632460</xdr:colOff>
      <xdr:row>72</xdr:row>
      <xdr:rowOff>11430</xdr:rowOff>
    </xdr:to>
    <xdr:graphicFrame macro="">
      <xdr:nvGraphicFramePr>
        <xdr:cNvPr id="61" name="Diagramm 60">
          <a:extLst>
            <a:ext uri="{FF2B5EF4-FFF2-40B4-BE49-F238E27FC236}">
              <a16:creationId xmlns:a16="http://schemas.microsoft.com/office/drawing/2014/main" id="{F2171941-CD49-46A6-B84F-D95CB785F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59</xdr:col>
      <xdr:colOff>0</xdr:colOff>
      <xdr:row>73</xdr:row>
      <xdr:rowOff>0</xdr:rowOff>
    </xdr:from>
    <xdr:to>
      <xdr:col>62</xdr:col>
      <xdr:colOff>632461</xdr:colOff>
      <xdr:row>89</xdr:row>
      <xdr:rowOff>34290</xdr:rowOff>
    </xdr:to>
    <xdr:graphicFrame macro="">
      <xdr:nvGraphicFramePr>
        <xdr:cNvPr id="62" name="Diagramm 61">
          <a:extLst>
            <a:ext uri="{FF2B5EF4-FFF2-40B4-BE49-F238E27FC236}">
              <a16:creationId xmlns:a16="http://schemas.microsoft.com/office/drawing/2014/main" id="{D6C2364A-94D0-4BE3-97C4-70AD1DD6C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63</xdr:col>
      <xdr:colOff>0</xdr:colOff>
      <xdr:row>73</xdr:row>
      <xdr:rowOff>0</xdr:rowOff>
    </xdr:from>
    <xdr:to>
      <xdr:col>66</xdr:col>
      <xdr:colOff>632460</xdr:colOff>
      <xdr:row>89</xdr:row>
      <xdr:rowOff>34290</xdr:rowOff>
    </xdr:to>
    <xdr:graphicFrame macro="">
      <xdr:nvGraphicFramePr>
        <xdr:cNvPr id="63" name="Diagramm 62">
          <a:extLst>
            <a:ext uri="{FF2B5EF4-FFF2-40B4-BE49-F238E27FC236}">
              <a16:creationId xmlns:a16="http://schemas.microsoft.com/office/drawing/2014/main" id="{C9C5627E-41C6-4712-AB3B-A833A932C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59</xdr:col>
      <xdr:colOff>0</xdr:colOff>
      <xdr:row>90</xdr:row>
      <xdr:rowOff>0</xdr:rowOff>
    </xdr:from>
    <xdr:to>
      <xdr:col>62</xdr:col>
      <xdr:colOff>632461</xdr:colOff>
      <xdr:row>102</xdr:row>
      <xdr:rowOff>19050</xdr:rowOff>
    </xdr:to>
    <xdr:graphicFrame macro="">
      <xdr:nvGraphicFramePr>
        <xdr:cNvPr id="64" name="Diagramm 63">
          <a:extLst>
            <a:ext uri="{FF2B5EF4-FFF2-40B4-BE49-F238E27FC236}">
              <a16:creationId xmlns:a16="http://schemas.microsoft.com/office/drawing/2014/main" id="{099E5808-FCC4-436A-B433-EC0F188339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63</xdr:col>
      <xdr:colOff>0</xdr:colOff>
      <xdr:row>90</xdr:row>
      <xdr:rowOff>0</xdr:rowOff>
    </xdr:from>
    <xdr:to>
      <xdr:col>66</xdr:col>
      <xdr:colOff>632460</xdr:colOff>
      <xdr:row>102</xdr:row>
      <xdr:rowOff>19050</xdr:rowOff>
    </xdr:to>
    <xdr:graphicFrame macro="">
      <xdr:nvGraphicFramePr>
        <xdr:cNvPr id="65" name="Diagramm 64">
          <a:extLst>
            <a:ext uri="{FF2B5EF4-FFF2-40B4-BE49-F238E27FC236}">
              <a16:creationId xmlns:a16="http://schemas.microsoft.com/office/drawing/2014/main" id="{55C64F4A-8899-49C4-B5F3-447D61BC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480760</xdr:colOff>
      <xdr:row>22</xdr:row>
      <xdr:rowOff>109352</xdr:rowOff>
    </xdr:from>
    <xdr:to>
      <xdr:col>25</xdr:col>
      <xdr:colOff>762700</xdr:colOff>
      <xdr:row>36</xdr:row>
      <xdr:rowOff>52202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52722F3-791D-4C56-A808-092C38CBAE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480760</xdr:colOff>
      <xdr:row>66</xdr:row>
      <xdr:rowOff>109352</xdr:rowOff>
    </xdr:from>
    <xdr:to>
      <xdr:col>25</xdr:col>
      <xdr:colOff>762700</xdr:colOff>
      <xdr:row>80</xdr:row>
      <xdr:rowOff>52202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CD1D1F0-EA41-4AFB-8527-2B052741AE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0493-D4CD-485B-BCC5-03A2EC54F452}">
  <dimension ref="A1:R43"/>
  <sheetViews>
    <sheetView workbookViewId="0">
      <selection activeCell="E11" sqref="E11"/>
    </sheetView>
  </sheetViews>
  <sheetFormatPr baseColWidth="10" defaultRowHeight="14.4" x14ac:dyDescent="0.3"/>
  <cols>
    <col min="1" max="1" width="13" bestFit="1" customWidth="1"/>
    <col min="2" max="2" width="11.77734375" bestFit="1" customWidth="1"/>
  </cols>
  <sheetData>
    <row r="1" spans="1:18" ht="18" x14ac:dyDescent="0.35">
      <c r="A1" s="3" t="s">
        <v>0</v>
      </c>
    </row>
    <row r="3" spans="1:18" x14ac:dyDescent="0.3">
      <c r="A3" s="1" t="s">
        <v>1</v>
      </c>
      <c r="B3" s="1" t="s">
        <v>2</v>
      </c>
      <c r="C3" s="1" t="s">
        <v>3</v>
      </c>
      <c r="D3" s="1" t="s">
        <v>89</v>
      </c>
    </row>
    <row r="4" spans="1:18" x14ac:dyDescent="0.3">
      <c r="A4" s="2">
        <v>45486</v>
      </c>
      <c r="B4" t="s">
        <v>4</v>
      </c>
      <c r="C4" t="s">
        <v>24</v>
      </c>
      <c r="D4" t="s">
        <v>25</v>
      </c>
    </row>
    <row r="5" spans="1:18" x14ac:dyDescent="0.3">
      <c r="A5" s="2">
        <v>45486</v>
      </c>
      <c r="B5" t="s">
        <v>5</v>
      </c>
      <c r="C5" t="s">
        <v>24</v>
      </c>
      <c r="D5" t="s">
        <v>26</v>
      </c>
    </row>
    <row r="6" spans="1:18" x14ac:dyDescent="0.3">
      <c r="A6" s="2">
        <v>45486</v>
      </c>
      <c r="B6" t="s">
        <v>6</v>
      </c>
      <c r="C6" t="s">
        <v>24</v>
      </c>
      <c r="D6" t="s">
        <v>27</v>
      </c>
    </row>
    <row r="7" spans="1:18" x14ac:dyDescent="0.3">
      <c r="A7" s="2">
        <v>45486</v>
      </c>
      <c r="B7" t="s">
        <v>7</v>
      </c>
      <c r="C7" t="s">
        <v>24</v>
      </c>
      <c r="D7" t="s">
        <v>28</v>
      </c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</row>
    <row r="8" spans="1:18" x14ac:dyDescent="0.3">
      <c r="A8" s="2">
        <v>45486</v>
      </c>
      <c r="B8" t="s">
        <v>8</v>
      </c>
      <c r="C8" t="s">
        <v>24</v>
      </c>
      <c r="D8" t="s">
        <v>29</v>
      </c>
      <c r="G8" s="224"/>
      <c r="H8" s="224"/>
      <c r="I8" s="224"/>
      <c r="J8" s="224"/>
      <c r="K8" s="224"/>
      <c r="L8" s="132"/>
      <c r="M8" s="132"/>
      <c r="N8" s="132"/>
      <c r="O8" s="132"/>
      <c r="P8" s="132"/>
      <c r="Q8" s="132"/>
      <c r="R8" s="132"/>
    </row>
    <row r="9" spans="1:18" x14ac:dyDescent="0.3">
      <c r="A9" s="2">
        <v>45486</v>
      </c>
      <c r="B9" t="s">
        <v>9</v>
      </c>
      <c r="C9" t="s">
        <v>24</v>
      </c>
      <c r="D9" t="s">
        <v>40</v>
      </c>
      <c r="G9" s="204"/>
      <c r="H9" s="224"/>
      <c r="I9" s="224"/>
      <c r="J9" s="224"/>
      <c r="K9" s="224"/>
      <c r="L9" s="132"/>
      <c r="M9" s="132"/>
      <c r="N9" s="132"/>
      <c r="O9" s="132"/>
      <c r="P9" s="132"/>
      <c r="Q9" s="132"/>
      <c r="R9" s="132"/>
    </row>
    <row r="10" spans="1:18" x14ac:dyDescent="0.3">
      <c r="A10" s="2">
        <v>45486</v>
      </c>
      <c r="B10" t="s">
        <v>10</v>
      </c>
      <c r="C10" t="s">
        <v>24</v>
      </c>
      <c r="D10" t="s">
        <v>31</v>
      </c>
      <c r="G10" s="132"/>
      <c r="H10" s="132"/>
      <c r="I10" s="132"/>
      <c r="J10" s="132"/>
      <c r="K10" s="132"/>
      <c r="L10" s="132"/>
      <c r="M10" s="132"/>
      <c r="N10" s="132"/>
      <c r="O10" s="132"/>
      <c r="P10" s="132"/>
      <c r="Q10" s="132"/>
      <c r="R10" s="132"/>
    </row>
    <row r="11" spans="1:18" x14ac:dyDescent="0.3">
      <c r="A11" s="2">
        <v>45486</v>
      </c>
      <c r="B11" t="s">
        <v>11</v>
      </c>
      <c r="C11" t="s">
        <v>24</v>
      </c>
      <c r="D11" t="s">
        <v>32</v>
      </c>
      <c r="G11" s="132"/>
      <c r="H11" s="132"/>
      <c r="I11" s="132"/>
      <c r="J11" s="132"/>
      <c r="K11" s="132"/>
      <c r="L11" s="132"/>
      <c r="M11" s="132"/>
      <c r="N11" s="132"/>
      <c r="O11" s="132"/>
      <c r="P11" s="132"/>
      <c r="Q11" s="132"/>
      <c r="R11" s="132"/>
    </row>
    <row r="12" spans="1:18" x14ac:dyDescent="0.3">
      <c r="A12" s="2">
        <v>45486</v>
      </c>
      <c r="B12" t="s">
        <v>12</v>
      </c>
      <c r="C12" t="s">
        <v>24</v>
      </c>
      <c r="D12" t="s">
        <v>33</v>
      </c>
      <c r="G12" s="132"/>
      <c r="H12" s="132"/>
      <c r="I12" s="132"/>
      <c r="J12" s="132"/>
      <c r="K12" s="132"/>
      <c r="L12" s="132"/>
      <c r="M12" s="132"/>
      <c r="N12" s="132"/>
      <c r="O12" s="132"/>
      <c r="P12" s="132"/>
      <c r="Q12" s="132"/>
      <c r="R12" s="132"/>
    </row>
    <row r="13" spans="1:18" x14ac:dyDescent="0.3">
      <c r="A13" s="2">
        <v>45486</v>
      </c>
      <c r="B13" t="s">
        <v>13</v>
      </c>
      <c r="C13" t="s">
        <v>24</v>
      </c>
      <c r="D13" t="s">
        <v>34</v>
      </c>
      <c r="G13" s="132"/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</row>
    <row r="14" spans="1:18" x14ac:dyDescent="0.3">
      <c r="A14" s="2">
        <v>45486</v>
      </c>
      <c r="B14" t="s">
        <v>14</v>
      </c>
      <c r="C14" t="s">
        <v>24</v>
      </c>
      <c r="D14" t="s">
        <v>35</v>
      </c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</row>
    <row r="15" spans="1:18" x14ac:dyDescent="0.3">
      <c r="A15" s="2">
        <v>45486</v>
      </c>
      <c r="B15" t="s">
        <v>15</v>
      </c>
      <c r="C15" t="s">
        <v>24</v>
      </c>
      <c r="D15" t="s">
        <v>36</v>
      </c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</row>
    <row r="16" spans="1:18" x14ac:dyDescent="0.3">
      <c r="A16" s="2">
        <v>45486</v>
      </c>
      <c r="B16" t="s">
        <v>16</v>
      </c>
      <c r="C16" t="s">
        <v>24</v>
      </c>
      <c r="D16" t="s">
        <v>37</v>
      </c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</row>
    <row r="17" spans="1:18" x14ac:dyDescent="0.3">
      <c r="A17" s="2">
        <v>45486</v>
      </c>
      <c r="B17" t="s">
        <v>17</v>
      </c>
      <c r="C17" t="s">
        <v>24</v>
      </c>
      <c r="D17" t="s">
        <v>38</v>
      </c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</row>
    <row r="18" spans="1:18" x14ac:dyDescent="0.3">
      <c r="A18" s="2">
        <v>45486</v>
      </c>
      <c r="B18" t="s">
        <v>23</v>
      </c>
      <c r="C18" t="s">
        <v>24</v>
      </c>
      <c r="D18" t="s">
        <v>39</v>
      </c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</row>
    <row r="19" spans="1:18" x14ac:dyDescent="0.3">
      <c r="A19" s="2">
        <v>45486</v>
      </c>
      <c r="B19" t="s">
        <v>18</v>
      </c>
      <c r="C19" t="s">
        <v>24</v>
      </c>
      <c r="D19" t="s">
        <v>30</v>
      </c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</row>
    <row r="20" spans="1:18" x14ac:dyDescent="0.3">
      <c r="A20" s="2">
        <v>45486</v>
      </c>
      <c r="B20" t="s">
        <v>19</v>
      </c>
      <c r="C20" t="s">
        <v>24</v>
      </c>
      <c r="D20" t="s">
        <v>41</v>
      </c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</row>
    <row r="21" spans="1:18" x14ac:dyDescent="0.3">
      <c r="A21" s="2">
        <v>45486</v>
      </c>
      <c r="B21" t="s">
        <v>20</v>
      </c>
      <c r="C21" t="s">
        <v>24</v>
      </c>
      <c r="D21" t="s">
        <v>42</v>
      </c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</row>
    <row r="22" spans="1:18" x14ac:dyDescent="0.3">
      <c r="A22" s="2">
        <v>45486</v>
      </c>
      <c r="B22" t="s">
        <v>21</v>
      </c>
      <c r="C22" t="s">
        <v>24</v>
      </c>
      <c r="D22" t="s">
        <v>43</v>
      </c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</row>
    <row r="23" spans="1:18" x14ac:dyDescent="0.3">
      <c r="A23" s="2">
        <v>45486</v>
      </c>
      <c r="B23" t="s">
        <v>22</v>
      </c>
      <c r="C23" t="s">
        <v>24</v>
      </c>
      <c r="D23" t="s">
        <v>44</v>
      </c>
      <c r="G23" s="20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132"/>
    </row>
    <row r="24" spans="1:18" x14ac:dyDescent="0.3">
      <c r="A24" s="2">
        <v>45488</v>
      </c>
      <c r="B24" t="s">
        <v>45</v>
      </c>
      <c r="C24" t="s">
        <v>65</v>
      </c>
      <c r="D24" t="s">
        <v>66</v>
      </c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2"/>
    </row>
    <row r="25" spans="1:18" x14ac:dyDescent="0.3">
      <c r="A25" s="2">
        <v>45488</v>
      </c>
      <c r="B25" t="s">
        <v>46</v>
      </c>
      <c r="C25" t="s">
        <v>65</v>
      </c>
      <c r="D25" t="s">
        <v>67</v>
      </c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</row>
    <row r="26" spans="1:18" x14ac:dyDescent="0.3">
      <c r="A26" s="2">
        <v>45488</v>
      </c>
      <c r="B26" t="s">
        <v>47</v>
      </c>
      <c r="C26" t="s">
        <v>65</v>
      </c>
      <c r="D26" t="s">
        <v>68</v>
      </c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</row>
    <row r="27" spans="1:18" x14ac:dyDescent="0.3">
      <c r="A27" s="2">
        <v>45488</v>
      </c>
      <c r="B27" t="s">
        <v>48</v>
      </c>
      <c r="C27" t="s">
        <v>65</v>
      </c>
      <c r="D27" t="s">
        <v>69</v>
      </c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  <c r="R27" s="132"/>
    </row>
    <row r="28" spans="1:18" x14ac:dyDescent="0.3">
      <c r="A28" s="2">
        <v>45488</v>
      </c>
      <c r="B28" t="s">
        <v>49</v>
      </c>
      <c r="C28" t="s">
        <v>65</v>
      </c>
      <c r="D28" t="s">
        <v>70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</row>
    <row r="29" spans="1:18" x14ac:dyDescent="0.3">
      <c r="A29" s="2">
        <v>45488</v>
      </c>
      <c r="B29" t="s">
        <v>50</v>
      </c>
      <c r="C29" t="s">
        <v>65</v>
      </c>
      <c r="D29" t="s">
        <v>71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</row>
    <row r="30" spans="1:18" x14ac:dyDescent="0.3">
      <c r="A30" s="2">
        <v>45488</v>
      </c>
      <c r="B30" t="s">
        <v>51</v>
      </c>
      <c r="C30" t="s">
        <v>65</v>
      </c>
      <c r="D30" t="s">
        <v>72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</row>
    <row r="31" spans="1:18" x14ac:dyDescent="0.3">
      <c r="A31" s="2">
        <v>45488</v>
      </c>
      <c r="B31" t="s">
        <v>52</v>
      </c>
      <c r="C31" t="s">
        <v>65</v>
      </c>
      <c r="D31" t="s">
        <v>73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</row>
    <row r="32" spans="1:18" x14ac:dyDescent="0.3">
      <c r="A32" s="2">
        <v>45488</v>
      </c>
      <c r="B32" t="s">
        <v>53</v>
      </c>
      <c r="C32" t="s">
        <v>65</v>
      </c>
      <c r="D32" t="s">
        <v>74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</row>
    <row r="33" spans="1:18" x14ac:dyDescent="0.3">
      <c r="A33" s="2">
        <v>45488</v>
      </c>
      <c r="B33" t="s">
        <v>54</v>
      </c>
      <c r="C33" t="s">
        <v>65</v>
      </c>
      <c r="D33" t="s">
        <v>75</v>
      </c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  <c r="R33" s="132"/>
    </row>
    <row r="34" spans="1:18" x14ac:dyDescent="0.3">
      <c r="A34" s="2">
        <v>45488</v>
      </c>
      <c r="B34" t="s">
        <v>55</v>
      </c>
      <c r="C34" t="s">
        <v>65</v>
      </c>
      <c r="D34" t="s">
        <v>76</v>
      </c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  <c r="R34" s="132"/>
    </row>
    <row r="35" spans="1:18" x14ac:dyDescent="0.3">
      <c r="A35" s="2">
        <v>45488</v>
      </c>
      <c r="B35" t="s">
        <v>56</v>
      </c>
      <c r="C35" t="s">
        <v>65</v>
      </c>
      <c r="D35" t="s">
        <v>77</v>
      </c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</row>
    <row r="36" spans="1:18" x14ac:dyDescent="0.3">
      <c r="A36" s="2">
        <v>45488</v>
      </c>
      <c r="B36" t="s">
        <v>57</v>
      </c>
      <c r="C36" t="s">
        <v>65</v>
      </c>
      <c r="D36" t="s">
        <v>78</v>
      </c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</row>
    <row r="37" spans="1:18" x14ac:dyDescent="0.3">
      <c r="A37" s="2">
        <v>45488</v>
      </c>
      <c r="B37" t="s">
        <v>58</v>
      </c>
      <c r="C37" t="s">
        <v>65</v>
      </c>
      <c r="D37" t="s">
        <v>79</v>
      </c>
    </row>
    <row r="38" spans="1:18" x14ac:dyDescent="0.3">
      <c r="A38" s="2">
        <v>45488</v>
      </c>
      <c r="B38" t="s">
        <v>59</v>
      </c>
      <c r="C38" t="s">
        <v>65</v>
      </c>
      <c r="D38" t="s">
        <v>80</v>
      </c>
    </row>
    <row r="39" spans="1:18" x14ac:dyDescent="0.3">
      <c r="A39" s="2">
        <v>45488</v>
      </c>
      <c r="B39" t="s">
        <v>60</v>
      </c>
      <c r="C39" t="s">
        <v>65</v>
      </c>
      <c r="D39" t="s">
        <v>81</v>
      </c>
    </row>
    <row r="40" spans="1:18" x14ac:dyDescent="0.3">
      <c r="A40" s="2">
        <v>45488</v>
      </c>
      <c r="B40" t="s">
        <v>61</v>
      </c>
      <c r="C40" t="s">
        <v>65</v>
      </c>
      <c r="D40" t="s">
        <v>82</v>
      </c>
    </row>
    <row r="41" spans="1:18" x14ac:dyDescent="0.3">
      <c r="A41" s="2">
        <v>45488</v>
      </c>
      <c r="B41" t="s">
        <v>62</v>
      </c>
      <c r="C41" t="s">
        <v>65</v>
      </c>
      <c r="D41" t="s">
        <v>83</v>
      </c>
    </row>
    <row r="42" spans="1:18" x14ac:dyDescent="0.3">
      <c r="A42" s="2">
        <v>45488</v>
      </c>
      <c r="B42" t="s">
        <v>63</v>
      </c>
      <c r="C42" t="s">
        <v>65</v>
      </c>
      <c r="D42" t="s">
        <v>84</v>
      </c>
    </row>
    <row r="43" spans="1:18" x14ac:dyDescent="0.3">
      <c r="A43" s="2">
        <v>45488</v>
      </c>
      <c r="B43" t="s">
        <v>64</v>
      </c>
      <c r="C43" t="s">
        <v>65</v>
      </c>
      <c r="D43" t="s">
        <v>85</v>
      </c>
    </row>
  </sheetData>
  <mergeCells count="6">
    <mergeCell ref="H23:L23"/>
    <mergeCell ref="M23:Q23"/>
    <mergeCell ref="H9:I9"/>
    <mergeCell ref="J9:K9"/>
    <mergeCell ref="G8:I8"/>
    <mergeCell ref="J8:K8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17657-C8CB-471F-921C-479F66D29290}">
  <dimension ref="A1:V61"/>
  <sheetViews>
    <sheetView topLeftCell="R1" zoomScaleNormal="100" workbookViewId="0">
      <selection activeCell="A54" sqref="A54:F73"/>
    </sheetView>
  </sheetViews>
  <sheetFormatPr baseColWidth="10" defaultRowHeight="14.4" x14ac:dyDescent="0.3"/>
  <cols>
    <col min="1" max="1" width="35.44140625" customWidth="1"/>
    <col min="2" max="2" width="21.21875" bestFit="1" customWidth="1"/>
    <col min="3" max="3" width="26" customWidth="1"/>
    <col min="4" max="4" width="21.5546875" bestFit="1" customWidth="1"/>
    <col min="5" max="5" width="19.88671875" bestFit="1" customWidth="1"/>
    <col min="6" max="6" width="14" bestFit="1" customWidth="1"/>
    <col min="7" max="7" width="15.6640625" bestFit="1" customWidth="1"/>
    <col min="8" max="8" width="22.33203125" bestFit="1" customWidth="1"/>
    <col min="9" max="9" width="28.6640625" bestFit="1" customWidth="1"/>
    <col min="10" max="10" width="16.88671875" bestFit="1" customWidth="1"/>
    <col min="11" max="11" width="10.109375" bestFit="1" customWidth="1"/>
    <col min="12" max="12" width="15.33203125" customWidth="1"/>
    <col min="13" max="13" width="28" bestFit="1" customWidth="1"/>
    <col min="14" max="14" width="21.5546875" customWidth="1"/>
    <col min="15" max="15" width="18.21875" bestFit="1" customWidth="1"/>
    <col min="16" max="16" width="24.33203125" bestFit="1" customWidth="1"/>
    <col min="17" max="17" width="41.109375" customWidth="1"/>
    <col min="18" max="18" width="46.33203125" bestFit="1" customWidth="1"/>
    <col min="19" max="19" width="36.33203125" bestFit="1" customWidth="1"/>
    <col min="20" max="20" width="30" bestFit="1" customWidth="1"/>
    <col min="21" max="21" width="18.5546875" bestFit="1" customWidth="1"/>
    <col min="22" max="22" width="17.109375" bestFit="1" customWidth="1"/>
  </cols>
  <sheetData>
    <row r="1" spans="1:22" ht="18" x14ac:dyDescent="0.35">
      <c r="A1" s="3" t="s">
        <v>86</v>
      </c>
      <c r="L1" s="13" t="s">
        <v>115</v>
      </c>
      <c r="N1" s="17"/>
    </row>
    <row r="2" spans="1:22" x14ac:dyDescent="0.3">
      <c r="A2" s="5">
        <v>45603</v>
      </c>
      <c r="C2" t="s">
        <v>108</v>
      </c>
      <c r="L2" s="16">
        <v>45608</v>
      </c>
      <c r="N2" s="18"/>
      <c r="O2" t="s">
        <v>108</v>
      </c>
    </row>
    <row r="3" spans="1:22" x14ac:dyDescent="0.3">
      <c r="A3" t="s">
        <v>87</v>
      </c>
      <c r="L3" s="14" t="s">
        <v>117</v>
      </c>
      <c r="N3" s="19"/>
    </row>
    <row r="4" spans="1:22" x14ac:dyDescent="0.3">
      <c r="A4" t="s">
        <v>88</v>
      </c>
      <c r="L4" s="14"/>
      <c r="M4" s="19"/>
      <c r="N4" s="19"/>
    </row>
    <row r="5" spans="1:22" x14ac:dyDescent="0.3">
      <c r="A5" s="8" t="s">
        <v>105</v>
      </c>
      <c r="L5" s="14"/>
      <c r="M5" s="19"/>
      <c r="N5" s="19"/>
    </row>
    <row r="6" spans="1:22" x14ac:dyDescent="0.3">
      <c r="L6" s="14"/>
      <c r="M6" s="19"/>
      <c r="N6" s="19"/>
    </row>
    <row r="7" spans="1:22" x14ac:dyDescent="0.3">
      <c r="L7" s="14"/>
      <c r="M7" s="19"/>
      <c r="N7" s="19"/>
    </row>
    <row r="8" spans="1:22" x14ac:dyDescent="0.3">
      <c r="A8" s="1" t="s">
        <v>2</v>
      </c>
      <c r="B8" s="1" t="s">
        <v>89</v>
      </c>
      <c r="C8" s="1" t="s">
        <v>90</v>
      </c>
      <c r="D8" s="1" t="s">
        <v>91</v>
      </c>
      <c r="E8" s="6" t="s">
        <v>92</v>
      </c>
      <c r="F8" s="6" t="s">
        <v>228</v>
      </c>
      <c r="G8" s="6" t="s">
        <v>102</v>
      </c>
      <c r="H8" s="6" t="s">
        <v>93</v>
      </c>
      <c r="I8" s="6" t="s">
        <v>94</v>
      </c>
      <c r="J8" s="6" t="s">
        <v>104</v>
      </c>
      <c r="K8" s="6" t="s">
        <v>103</v>
      </c>
      <c r="L8" s="15" t="s">
        <v>119</v>
      </c>
      <c r="M8" s="20" t="s">
        <v>118</v>
      </c>
      <c r="N8" s="20" t="s">
        <v>116</v>
      </c>
      <c r="O8" s="6" t="s">
        <v>113</v>
      </c>
      <c r="P8" s="6" t="s">
        <v>121</v>
      </c>
      <c r="Q8" s="6" t="s">
        <v>120</v>
      </c>
      <c r="R8" s="6" t="s">
        <v>122</v>
      </c>
      <c r="S8" s="1" t="s">
        <v>123</v>
      </c>
      <c r="T8" s="1" t="s">
        <v>192</v>
      </c>
      <c r="U8" s="1" t="s">
        <v>193</v>
      </c>
      <c r="V8" s="45" t="s">
        <v>296</v>
      </c>
    </row>
    <row r="9" spans="1:22" x14ac:dyDescent="0.3">
      <c r="A9" t="s">
        <v>4</v>
      </c>
      <c r="B9" t="s">
        <v>25</v>
      </c>
      <c r="I9" s="8">
        <v>3.5363128491619999</v>
      </c>
      <c r="J9" s="7"/>
      <c r="L9" s="14"/>
      <c r="M9" s="19"/>
      <c r="N9" s="19"/>
    </row>
    <row r="10" spans="1:22" x14ac:dyDescent="0.3">
      <c r="A10" t="s">
        <v>5</v>
      </c>
      <c r="B10" t="s">
        <v>26</v>
      </c>
      <c r="I10" s="8">
        <v>5.5964912280701986</v>
      </c>
      <c r="J10" s="7"/>
      <c r="L10" s="14"/>
      <c r="M10" s="19"/>
      <c r="N10" s="19"/>
    </row>
    <row r="11" spans="1:22" x14ac:dyDescent="0.3">
      <c r="A11" t="s">
        <v>6</v>
      </c>
      <c r="B11" t="s">
        <v>27</v>
      </c>
      <c r="C11">
        <v>1.1719999999999999</v>
      </c>
      <c r="D11">
        <v>8.9809999999999999</v>
      </c>
      <c r="E11">
        <v>2.8039999999999998</v>
      </c>
      <c r="F11" s="25">
        <f>E11/D11</f>
        <v>0.31221467542589909</v>
      </c>
      <c r="G11">
        <f>E11-C11</f>
        <v>1.6319999999999999</v>
      </c>
      <c r="H11">
        <f>D11-E11</f>
        <v>6.1769999999999996</v>
      </c>
      <c r="I11">
        <f>H11/G11</f>
        <v>3.7849264705882355</v>
      </c>
      <c r="J11" s="7">
        <f t="shared" ref="J11:J18" si="0">H11/(D11-C11)</f>
        <v>0.79101037264694574</v>
      </c>
      <c r="K11" s="12">
        <f t="shared" ref="K11:K18" si="1">H11/G11</f>
        <v>3.7849264705882355</v>
      </c>
      <c r="L11" s="23">
        <v>10.7</v>
      </c>
      <c r="M11" s="19">
        <v>139.4</v>
      </c>
      <c r="N11" s="21">
        <f>M11-L11</f>
        <v>128.70000000000002</v>
      </c>
      <c r="O11" s="12">
        <f>N11/(1+K11)</f>
        <v>26.896965040338074</v>
      </c>
      <c r="P11" s="12">
        <f>O11*1.5</f>
        <v>40.345447560507111</v>
      </c>
      <c r="Q11" s="12">
        <f>O11+P11</f>
        <v>67.242412600845185</v>
      </c>
      <c r="R11" s="12">
        <f>Q11+L11</f>
        <v>77.942412600845188</v>
      </c>
      <c r="S11">
        <v>78.8</v>
      </c>
      <c r="T11" s="12">
        <f>S11-L11</f>
        <v>68.099999999999994</v>
      </c>
      <c r="U11">
        <f>(T11-O11)/O11</f>
        <v>1.5318841697518164</v>
      </c>
    </row>
    <row r="12" spans="1:22" x14ac:dyDescent="0.3">
      <c r="A12" t="s">
        <v>7</v>
      </c>
      <c r="B12" t="s">
        <v>28</v>
      </c>
      <c r="C12">
        <v>1.177</v>
      </c>
      <c r="D12">
        <v>9.1210000000000004</v>
      </c>
      <c r="E12">
        <v>2.3740000000000001</v>
      </c>
      <c r="F12" s="25">
        <f t="shared" ref="F12:F48" si="2">E12/D12</f>
        <v>0.26027847823703543</v>
      </c>
      <c r="G12">
        <f t="shared" ref="G12:G48" si="3">E12-C12</f>
        <v>1.1970000000000001</v>
      </c>
      <c r="H12">
        <f>D12-E12</f>
        <v>6.7469999999999999</v>
      </c>
      <c r="I12">
        <f>H12/(E12-C12)</f>
        <v>5.636591478696741</v>
      </c>
      <c r="J12" s="7">
        <f t="shared" si="0"/>
        <v>0.84932024169184284</v>
      </c>
      <c r="K12" s="12">
        <f t="shared" si="1"/>
        <v>5.636591478696741</v>
      </c>
      <c r="L12" s="23">
        <v>12.1</v>
      </c>
      <c r="M12" s="19">
        <v>175.2</v>
      </c>
      <c r="N12" s="21">
        <f t="shared" ref="N12:N23" si="4">M12-L12</f>
        <v>163.1</v>
      </c>
      <c r="O12" s="12">
        <f t="shared" ref="O12:O23" si="5">N12/(1+K12)</f>
        <v>24.575868580060426</v>
      </c>
      <c r="P12" s="12">
        <f t="shared" ref="P12:P48" si="6">O12*1.5</f>
        <v>36.863802870090637</v>
      </c>
      <c r="Q12" s="12">
        <f t="shared" ref="Q12:Q48" si="7">O12+P12</f>
        <v>61.439671450151067</v>
      </c>
      <c r="R12" s="12">
        <f t="shared" ref="R12:R48" si="8">Q12+L12</f>
        <v>73.539671450151062</v>
      </c>
      <c r="S12">
        <v>75.2</v>
      </c>
      <c r="T12" s="12">
        <f t="shared" ref="T12:T48" si="9">S12-L12</f>
        <v>63.1</v>
      </c>
      <c r="U12">
        <f t="shared" ref="U12:U48" si="10">(T12-O12)/O12</f>
        <v>1.5675593029170103</v>
      </c>
    </row>
    <row r="13" spans="1:22" s="46" customFormat="1" x14ac:dyDescent="0.3">
      <c r="A13" s="46" t="s">
        <v>8</v>
      </c>
      <c r="B13" s="46" t="s">
        <v>29</v>
      </c>
      <c r="C13" s="46">
        <v>1.175</v>
      </c>
      <c r="D13" s="46">
        <v>7.4219999999999997</v>
      </c>
      <c r="E13" s="46">
        <v>2.1720000000000002</v>
      </c>
      <c r="F13" s="81">
        <f t="shared" si="2"/>
        <v>0.29264349232012937</v>
      </c>
      <c r="G13" s="46">
        <f t="shared" si="3"/>
        <v>0.99700000000000011</v>
      </c>
      <c r="H13" s="46">
        <f t="shared" ref="H13:H48" si="11">D13-E13</f>
        <v>5.25</v>
      </c>
      <c r="I13" s="46">
        <f t="shared" ref="I13:I48" si="12">H13/(E13-C13)</f>
        <v>5.2657973921765286</v>
      </c>
      <c r="J13" s="195">
        <f t="shared" si="0"/>
        <v>0.8404033936289419</v>
      </c>
      <c r="K13" s="134">
        <f t="shared" si="1"/>
        <v>5.2657973921765286</v>
      </c>
      <c r="L13" s="196">
        <v>12</v>
      </c>
      <c r="M13" s="132">
        <v>165.9</v>
      </c>
      <c r="N13" s="197">
        <f t="shared" si="4"/>
        <v>153.9</v>
      </c>
      <c r="O13" s="134">
        <f t="shared" si="5"/>
        <v>24.561917720505846</v>
      </c>
      <c r="P13" s="134">
        <f t="shared" si="6"/>
        <v>36.842876580758769</v>
      </c>
      <c r="Q13" s="134">
        <f t="shared" si="7"/>
        <v>61.404794301264616</v>
      </c>
      <c r="R13" s="134">
        <f t="shared" si="8"/>
        <v>73.404794301264616</v>
      </c>
      <c r="S13" s="46">
        <v>73.7</v>
      </c>
      <c r="T13" s="134">
        <f t="shared" si="9"/>
        <v>61.7</v>
      </c>
      <c r="U13" s="46">
        <f t="shared" si="10"/>
        <v>1.5120188375392583</v>
      </c>
    </row>
    <row r="14" spans="1:22" s="46" customFormat="1" x14ac:dyDescent="0.3">
      <c r="A14" s="46" t="s">
        <v>9</v>
      </c>
      <c r="B14" s="46" t="s">
        <v>40</v>
      </c>
      <c r="C14" s="46">
        <v>1.1819999999999999</v>
      </c>
      <c r="D14" s="46">
        <v>8.048</v>
      </c>
      <c r="E14" s="46">
        <v>3.09</v>
      </c>
      <c r="F14" s="81">
        <f t="shared" si="2"/>
        <v>0.38394632206759444</v>
      </c>
      <c r="G14" s="46">
        <f t="shared" si="3"/>
        <v>1.9079999999999999</v>
      </c>
      <c r="H14" s="46">
        <f t="shared" si="11"/>
        <v>4.9580000000000002</v>
      </c>
      <c r="I14" s="46">
        <f t="shared" si="12"/>
        <v>2.5985324947589099</v>
      </c>
      <c r="J14" s="195">
        <f t="shared" si="0"/>
        <v>0.72210894261578795</v>
      </c>
      <c r="K14" s="134">
        <f t="shared" si="1"/>
        <v>2.5985324947589099</v>
      </c>
      <c r="L14" s="196">
        <v>38.9</v>
      </c>
      <c r="M14" s="132">
        <v>342.6</v>
      </c>
      <c r="N14" s="197">
        <f t="shared" si="4"/>
        <v>303.70000000000005</v>
      </c>
      <c r="O14" s="134">
        <f t="shared" si="5"/>
        <v>84.395514127585216</v>
      </c>
      <c r="P14" s="134">
        <f t="shared" si="6"/>
        <v>126.59327119137782</v>
      </c>
      <c r="Q14" s="134">
        <f t="shared" si="7"/>
        <v>210.98878531896304</v>
      </c>
      <c r="R14" s="134">
        <f t="shared" si="8"/>
        <v>249.88878531896304</v>
      </c>
      <c r="S14" s="46">
        <v>250.7</v>
      </c>
      <c r="T14" s="134">
        <f t="shared" si="9"/>
        <v>211.79999999999998</v>
      </c>
      <c r="U14" s="46">
        <f t="shared" si="10"/>
        <v>1.5096120592358806</v>
      </c>
    </row>
    <row r="15" spans="1:22" s="46" customFormat="1" x14ac:dyDescent="0.3">
      <c r="A15" s="46" t="s">
        <v>10</v>
      </c>
      <c r="B15" s="46" t="s">
        <v>31</v>
      </c>
      <c r="C15" s="46">
        <v>1.1879999999999999</v>
      </c>
      <c r="D15" s="46">
        <v>8.8379999999999992</v>
      </c>
      <c r="E15" s="46">
        <v>3.46</v>
      </c>
      <c r="F15" s="81">
        <f t="shared" si="2"/>
        <v>0.39149128762163388</v>
      </c>
      <c r="G15" s="46">
        <f t="shared" si="3"/>
        <v>2.2720000000000002</v>
      </c>
      <c r="H15" s="46">
        <f t="shared" si="11"/>
        <v>5.3779999999999992</v>
      </c>
      <c r="I15" s="46">
        <f t="shared" si="12"/>
        <v>2.3670774647887316</v>
      </c>
      <c r="J15" s="195">
        <f t="shared" si="0"/>
        <v>0.70300653594771234</v>
      </c>
      <c r="K15" s="134">
        <f t="shared" si="1"/>
        <v>2.3670774647887316</v>
      </c>
      <c r="L15" s="196">
        <v>11.4</v>
      </c>
      <c r="M15" s="132">
        <v>278.2</v>
      </c>
      <c r="N15" s="197">
        <f t="shared" si="4"/>
        <v>266.8</v>
      </c>
      <c r="O15" s="134">
        <f t="shared" si="5"/>
        <v>79.237856209150351</v>
      </c>
      <c r="P15" s="134">
        <f t="shared" si="6"/>
        <v>118.85678431372553</v>
      </c>
      <c r="Q15" s="134">
        <f t="shared" si="7"/>
        <v>198.09464052287586</v>
      </c>
      <c r="R15" s="134">
        <f t="shared" si="8"/>
        <v>209.49464052287587</v>
      </c>
      <c r="S15" s="46">
        <v>209.6</v>
      </c>
      <c r="T15" s="134">
        <f t="shared" si="9"/>
        <v>198.2</v>
      </c>
      <c r="U15" s="46">
        <f t="shared" si="10"/>
        <v>1.5013296608737876</v>
      </c>
    </row>
    <row r="16" spans="1:22" s="46" customFormat="1" x14ac:dyDescent="0.3">
      <c r="A16" s="46" t="s">
        <v>11</v>
      </c>
      <c r="B16" s="46" t="s">
        <v>32</v>
      </c>
      <c r="C16" s="46">
        <v>1.171</v>
      </c>
      <c r="D16" s="46">
        <v>7.766</v>
      </c>
      <c r="E16" s="46">
        <v>2.0819999999999999</v>
      </c>
      <c r="F16" s="81">
        <f t="shared" si="2"/>
        <v>0.26809168168941538</v>
      </c>
      <c r="G16" s="46">
        <f t="shared" si="3"/>
        <v>0.91099999999999981</v>
      </c>
      <c r="H16" s="46">
        <f t="shared" si="11"/>
        <v>5.6840000000000002</v>
      </c>
      <c r="I16" s="46">
        <f t="shared" si="12"/>
        <v>6.2392974753018677</v>
      </c>
      <c r="J16" s="195">
        <f t="shared" si="0"/>
        <v>0.86186504927975749</v>
      </c>
      <c r="K16" s="134">
        <f t="shared" si="1"/>
        <v>6.2392974753018677</v>
      </c>
      <c r="L16" s="196">
        <v>11.9</v>
      </c>
      <c r="M16" s="132">
        <v>156.69999999999999</v>
      </c>
      <c r="N16" s="197">
        <f t="shared" si="4"/>
        <v>144.79999999999998</v>
      </c>
      <c r="O16" s="134">
        <f t="shared" si="5"/>
        <v>20.001940864291122</v>
      </c>
      <c r="P16" s="134">
        <f t="shared" si="6"/>
        <v>30.002911296436682</v>
      </c>
      <c r="Q16" s="134">
        <f t="shared" si="7"/>
        <v>50.004852160727808</v>
      </c>
      <c r="R16" s="134">
        <f t="shared" si="8"/>
        <v>61.904852160727806</v>
      </c>
      <c r="S16" s="46">
        <v>63.3</v>
      </c>
      <c r="T16" s="134">
        <f t="shared" si="9"/>
        <v>51.4</v>
      </c>
      <c r="U16" s="46">
        <f t="shared" si="10"/>
        <v>1.5697506231389231</v>
      </c>
    </row>
    <row r="17" spans="1:21" s="46" customFormat="1" x14ac:dyDescent="0.3">
      <c r="A17" s="46" t="s">
        <v>12</v>
      </c>
      <c r="B17" s="46" t="s">
        <v>33</v>
      </c>
      <c r="C17" s="46">
        <v>1.175</v>
      </c>
      <c r="D17" s="46">
        <v>8.5869999999999997</v>
      </c>
      <c r="E17" s="46">
        <v>1.9790000000000001</v>
      </c>
      <c r="F17" s="81">
        <f t="shared" si="2"/>
        <v>0.23046465587516016</v>
      </c>
      <c r="G17" s="46">
        <f t="shared" si="3"/>
        <v>0.80400000000000005</v>
      </c>
      <c r="H17" s="46">
        <f t="shared" si="11"/>
        <v>6.6079999999999997</v>
      </c>
      <c r="I17" s="46">
        <f t="shared" si="12"/>
        <v>8.2189054726368145</v>
      </c>
      <c r="J17" s="195">
        <f t="shared" si="0"/>
        <v>0.89152725310307601</v>
      </c>
      <c r="K17" s="134">
        <f t="shared" si="1"/>
        <v>8.2189054726368145</v>
      </c>
      <c r="L17" s="196">
        <v>12.4</v>
      </c>
      <c r="M17" s="132">
        <v>182.8</v>
      </c>
      <c r="N17" s="197">
        <f t="shared" si="4"/>
        <v>170.4</v>
      </c>
      <c r="O17" s="134">
        <f t="shared" si="5"/>
        <v>18.483756071235838</v>
      </c>
      <c r="P17" s="134">
        <f t="shared" si="6"/>
        <v>27.725634106853757</v>
      </c>
      <c r="Q17" s="134">
        <f t="shared" si="7"/>
        <v>46.209390178089592</v>
      </c>
      <c r="R17" s="134">
        <f t="shared" si="8"/>
        <v>58.609390178089591</v>
      </c>
      <c r="S17" s="46">
        <v>59.2</v>
      </c>
      <c r="T17" s="134">
        <f t="shared" si="9"/>
        <v>46.800000000000004</v>
      </c>
      <c r="U17" s="46">
        <f t="shared" si="10"/>
        <v>1.5319529114988435</v>
      </c>
    </row>
    <row r="18" spans="1:21" s="46" customFormat="1" x14ac:dyDescent="0.3">
      <c r="A18" s="46" t="s">
        <v>13</v>
      </c>
      <c r="B18" s="46" t="s">
        <v>34</v>
      </c>
      <c r="C18" s="46">
        <v>1.179</v>
      </c>
      <c r="D18" s="46">
        <v>8.9949999999999992</v>
      </c>
      <c r="E18" s="46">
        <v>2.0489999999999999</v>
      </c>
      <c r="F18" s="81">
        <f t="shared" si="2"/>
        <v>0.22779321845469708</v>
      </c>
      <c r="G18" s="46">
        <f t="shared" si="3"/>
        <v>0.86999999999999988</v>
      </c>
      <c r="H18" s="46">
        <f t="shared" si="11"/>
        <v>6.9459999999999997</v>
      </c>
      <c r="I18" s="46">
        <f>H18/(E18-C18)</f>
        <v>7.983908045977012</v>
      </c>
      <c r="J18" s="195">
        <f t="shared" si="0"/>
        <v>0.88868986693961116</v>
      </c>
      <c r="K18" s="134">
        <f t="shared" si="1"/>
        <v>7.983908045977012</v>
      </c>
      <c r="L18" s="196">
        <v>12.8</v>
      </c>
      <c r="M18" s="132">
        <v>167.4</v>
      </c>
      <c r="N18" s="197">
        <f t="shared" si="4"/>
        <v>154.6</v>
      </c>
      <c r="O18" s="134">
        <f t="shared" si="5"/>
        <v>17.208546571136129</v>
      </c>
      <c r="P18" s="134">
        <f t="shared" si="6"/>
        <v>25.812819856704195</v>
      </c>
      <c r="Q18" s="134">
        <f t="shared" si="7"/>
        <v>43.02136642784032</v>
      </c>
      <c r="R18" s="134">
        <f t="shared" si="8"/>
        <v>55.821366427840317</v>
      </c>
      <c r="S18" s="46">
        <v>55.8</v>
      </c>
      <c r="T18" s="134">
        <f t="shared" si="9"/>
        <v>43</v>
      </c>
      <c r="U18" s="46">
        <f t="shared" si="10"/>
        <v>1.4987583827749777</v>
      </c>
    </row>
    <row r="19" spans="1:21" s="46" customFormat="1" x14ac:dyDescent="0.3">
      <c r="A19" s="46" t="s">
        <v>14</v>
      </c>
      <c r="B19" s="46" t="s">
        <v>35</v>
      </c>
      <c r="F19" s="81"/>
      <c r="I19" s="8">
        <v>3.0467836257310088</v>
      </c>
      <c r="J19" s="195"/>
      <c r="K19" s="134"/>
      <c r="L19" s="196"/>
      <c r="M19" s="132"/>
      <c r="N19" s="197">
        <f t="shared" si="4"/>
        <v>0</v>
      </c>
      <c r="O19" s="134">
        <f t="shared" si="5"/>
        <v>0</v>
      </c>
      <c r="P19" s="134"/>
      <c r="Q19" s="134"/>
      <c r="R19" s="134">
        <f t="shared" si="8"/>
        <v>0</v>
      </c>
      <c r="T19" s="134"/>
    </row>
    <row r="20" spans="1:21" s="46" customFormat="1" x14ac:dyDescent="0.3">
      <c r="A20" s="46" t="s">
        <v>15</v>
      </c>
      <c r="B20" s="46" t="s">
        <v>36</v>
      </c>
      <c r="F20" s="81"/>
      <c r="I20" s="8">
        <v>5.7810945273631669</v>
      </c>
      <c r="J20" s="195"/>
      <c r="K20" s="134"/>
      <c r="L20" s="196"/>
      <c r="M20" s="132"/>
      <c r="N20" s="197">
        <f t="shared" si="4"/>
        <v>0</v>
      </c>
      <c r="O20" s="134">
        <f t="shared" si="5"/>
        <v>0</v>
      </c>
      <c r="P20" s="134"/>
      <c r="Q20" s="134"/>
      <c r="R20" s="134">
        <f t="shared" si="8"/>
        <v>0</v>
      </c>
      <c r="T20" s="134"/>
    </row>
    <row r="21" spans="1:21" s="46" customFormat="1" x14ac:dyDescent="0.3">
      <c r="A21" s="46" t="s">
        <v>16</v>
      </c>
      <c r="B21" s="46" t="s">
        <v>37</v>
      </c>
      <c r="C21" s="46">
        <v>1.177</v>
      </c>
      <c r="D21" s="46">
        <v>7.3380000000000001</v>
      </c>
      <c r="E21" s="46">
        <v>2.1869999999999998</v>
      </c>
      <c r="F21" s="81">
        <f t="shared" si="2"/>
        <v>0.29803761242845461</v>
      </c>
      <c r="G21" s="46">
        <f t="shared" si="3"/>
        <v>1.0099999999999998</v>
      </c>
      <c r="H21" s="46">
        <f t="shared" si="11"/>
        <v>5.1509999999999998</v>
      </c>
      <c r="I21" s="198">
        <f>H21/(E21-C21)</f>
        <v>5.1000000000000005</v>
      </c>
      <c r="J21" s="195">
        <f t="shared" ref="J21:J48" si="13">H21/(D21-C21)</f>
        <v>0.83606557377049184</v>
      </c>
      <c r="K21" s="134">
        <f t="shared" ref="K21:K48" si="14">H21/G21</f>
        <v>5.1000000000000005</v>
      </c>
      <c r="L21" s="196">
        <v>12.3</v>
      </c>
      <c r="M21" s="132">
        <v>132.1</v>
      </c>
      <c r="N21" s="197">
        <f t="shared" si="4"/>
        <v>119.8</v>
      </c>
      <c r="O21" s="134">
        <f t="shared" si="5"/>
        <v>19.639344262295079</v>
      </c>
      <c r="P21" s="134">
        <f t="shared" si="6"/>
        <v>29.459016393442617</v>
      </c>
      <c r="Q21" s="134">
        <f t="shared" si="7"/>
        <v>49.098360655737693</v>
      </c>
      <c r="R21" s="134">
        <f t="shared" si="8"/>
        <v>61.39836065573769</v>
      </c>
      <c r="S21" s="46">
        <v>61.9</v>
      </c>
      <c r="T21" s="134">
        <f t="shared" si="9"/>
        <v>49.599999999999994</v>
      </c>
      <c r="U21" s="46">
        <f t="shared" si="10"/>
        <v>1.525542570951586</v>
      </c>
    </row>
    <row r="22" spans="1:21" s="46" customFormat="1" x14ac:dyDescent="0.3">
      <c r="A22" s="46" t="s">
        <v>17</v>
      </c>
      <c r="B22" s="46" t="s">
        <v>38</v>
      </c>
      <c r="C22" s="46">
        <v>1.1839999999999999</v>
      </c>
      <c r="D22" s="46">
        <v>7.5979999999999999</v>
      </c>
      <c r="E22" s="46">
        <v>2.2269999999999999</v>
      </c>
      <c r="F22" s="81">
        <f t="shared" si="2"/>
        <v>0.29310344827586204</v>
      </c>
      <c r="G22" s="46">
        <f t="shared" si="3"/>
        <v>1.0429999999999999</v>
      </c>
      <c r="H22" s="46">
        <f t="shared" si="11"/>
        <v>5.3710000000000004</v>
      </c>
      <c r="I22" s="46">
        <f t="shared" si="12"/>
        <v>5.1495685522531165</v>
      </c>
      <c r="J22" s="195">
        <f t="shared" si="13"/>
        <v>0.83738696601184914</v>
      </c>
      <c r="K22" s="134">
        <f t="shared" si="14"/>
        <v>5.1495685522531165</v>
      </c>
      <c r="L22" s="196">
        <v>12</v>
      </c>
      <c r="M22" s="132">
        <v>184</v>
      </c>
      <c r="N22" s="197">
        <f t="shared" si="4"/>
        <v>172</v>
      </c>
      <c r="O22" s="134">
        <f t="shared" si="5"/>
        <v>27.969441845961956</v>
      </c>
      <c r="P22" s="134">
        <f t="shared" si="6"/>
        <v>41.954162768942936</v>
      </c>
      <c r="Q22" s="134">
        <f t="shared" si="7"/>
        <v>69.923604614904889</v>
      </c>
      <c r="R22" s="134">
        <f t="shared" si="8"/>
        <v>81.923604614904889</v>
      </c>
      <c r="S22" s="46">
        <f>86-(80.701-76.5)</f>
        <v>81.799000000000007</v>
      </c>
      <c r="T22" s="134">
        <f>S22-L22</f>
        <v>69.799000000000007</v>
      </c>
      <c r="U22" s="46">
        <f t="shared" si="10"/>
        <v>1.4955449731320658</v>
      </c>
    </row>
    <row r="23" spans="1:21" s="46" customFormat="1" x14ac:dyDescent="0.3">
      <c r="A23" s="46" t="s">
        <v>23</v>
      </c>
      <c r="B23" s="46" t="s">
        <v>39</v>
      </c>
      <c r="C23" s="46">
        <v>1.1679999999999999</v>
      </c>
      <c r="D23" s="46">
        <v>7.6109999999999998</v>
      </c>
      <c r="E23" s="46">
        <v>2.0190000000000001</v>
      </c>
      <c r="F23" s="81">
        <f t="shared" si="2"/>
        <v>0.26527394560504536</v>
      </c>
      <c r="G23" s="46">
        <f t="shared" si="3"/>
        <v>0.8510000000000002</v>
      </c>
      <c r="H23" s="46">
        <f t="shared" si="11"/>
        <v>5.5919999999999996</v>
      </c>
      <c r="I23" s="46">
        <f t="shared" si="12"/>
        <v>6.5710928319623951</v>
      </c>
      <c r="J23" s="195">
        <f t="shared" si="13"/>
        <v>0.86791867142635415</v>
      </c>
      <c r="K23" s="134">
        <f t="shared" si="14"/>
        <v>6.5710928319623951</v>
      </c>
      <c r="L23" s="196">
        <v>12.1</v>
      </c>
      <c r="M23" s="132">
        <v>185.4</v>
      </c>
      <c r="N23" s="197">
        <f t="shared" si="4"/>
        <v>173.3</v>
      </c>
      <c r="O23" s="134">
        <f t="shared" si="5"/>
        <v>22.889694241812826</v>
      </c>
      <c r="P23" s="134">
        <f t="shared" si="6"/>
        <v>34.334541362719236</v>
      </c>
      <c r="Q23" s="134">
        <f t="shared" si="7"/>
        <v>57.224235604532062</v>
      </c>
      <c r="R23" s="134">
        <f t="shared" si="8"/>
        <v>69.324235604532063</v>
      </c>
      <c r="S23" s="46">
        <f>73-(68.294-65.2)</f>
        <v>69.906000000000006</v>
      </c>
      <c r="T23" s="134">
        <f t="shared" si="9"/>
        <v>57.806000000000004</v>
      </c>
      <c r="U23" s="46">
        <f t="shared" si="10"/>
        <v>1.5254159967941041</v>
      </c>
    </row>
    <row r="24" spans="1:21" s="46" customFormat="1" x14ac:dyDescent="0.3">
      <c r="A24" s="46" t="s">
        <v>18</v>
      </c>
      <c r="B24" s="46" t="s">
        <v>30</v>
      </c>
      <c r="C24" s="46">
        <v>1.1479999999999999</v>
      </c>
      <c r="D24" s="46">
        <v>7.9809999999999999</v>
      </c>
      <c r="E24" s="46">
        <v>3.1440000000000001</v>
      </c>
      <c r="F24" s="81">
        <f t="shared" si="2"/>
        <v>0.39393559704297709</v>
      </c>
      <c r="G24" s="46">
        <f t="shared" si="3"/>
        <v>1.9960000000000002</v>
      </c>
      <c r="H24" s="46">
        <f t="shared" si="11"/>
        <v>4.8369999999999997</v>
      </c>
      <c r="I24" s="46">
        <f t="shared" si="12"/>
        <v>2.4233466933867733</v>
      </c>
      <c r="J24" s="195">
        <f t="shared" si="13"/>
        <v>0.70788818966778866</v>
      </c>
      <c r="K24" s="134">
        <f t="shared" si="14"/>
        <v>2.4233466933867733</v>
      </c>
      <c r="L24" s="196">
        <v>38</v>
      </c>
      <c r="M24" s="132">
        <v>255.8</v>
      </c>
      <c r="N24" s="197">
        <f>M24-L24</f>
        <v>217.8</v>
      </c>
      <c r="O24" s="134">
        <f>N24/(1+K24)</f>
        <v>63.621952290355637</v>
      </c>
      <c r="P24" s="134">
        <f>O24*1.5</f>
        <v>95.432928435533455</v>
      </c>
      <c r="Q24" s="134">
        <f>O24+P24</f>
        <v>159.05488072588909</v>
      </c>
      <c r="R24" s="134">
        <f>Q24+L24</f>
        <v>197.05488072588909</v>
      </c>
      <c r="S24" s="46">
        <v>197.2</v>
      </c>
      <c r="T24" s="134">
        <f t="shared" si="9"/>
        <v>159.19999999999999</v>
      </c>
      <c r="U24" s="46">
        <f t="shared" si="10"/>
        <v>1.5022809622918927</v>
      </c>
    </row>
    <row r="25" spans="1:21" s="46" customFormat="1" x14ac:dyDescent="0.3">
      <c r="A25" s="46" t="s">
        <v>19</v>
      </c>
      <c r="B25" s="46" t="s">
        <v>41</v>
      </c>
      <c r="C25" s="46">
        <v>1.17</v>
      </c>
      <c r="D25" s="46">
        <v>8.391</v>
      </c>
      <c r="E25" s="46">
        <v>2.952</v>
      </c>
      <c r="F25" s="81">
        <f t="shared" si="2"/>
        <v>0.3518055058991777</v>
      </c>
      <c r="G25" s="46">
        <f t="shared" si="3"/>
        <v>1.782</v>
      </c>
      <c r="H25" s="46">
        <f t="shared" si="11"/>
        <v>5.4390000000000001</v>
      </c>
      <c r="I25" s="46">
        <f t="shared" si="12"/>
        <v>3.0521885521885523</v>
      </c>
      <c r="J25" s="195">
        <f t="shared" si="13"/>
        <v>0.75321977565434151</v>
      </c>
      <c r="K25" s="134">
        <f t="shared" si="14"/>
        <v>3.0521885521885523</v>
      </c>
      <c r="L25" s="196">
        <v>38.799999999999997</v>
      </c>
      <c r="M25" s="132">
        <v>403.9</v>
      </c>
      <c r="N25" s="197">
        <f t="shared" ref="N25:N48" si="15">M25-L25</f>
        <v>365.09999999999997</v>
      </c>
      <c r="O25" s="134">
        <f t="shared" ref="O25:O48" si="16">N25/(1+K25)</f>
        <v>90.099459908599911</v>
      </c>
      <c r="P25" s="134">
        <f t="shared" si="6"/>
        <v>135.14918986289987</v>
      </c>
      <c r="Q25" s="134">
        <f t="shared" si="7"/>
        <v>225.2486497714998</v>
      </c>
      <c r="R25" s="134">
        <f t="shared" si="8"/>
        <v>264.04864977149981</v>
      </c>
      <c r="S25" s="46">
        <v>266.2</v>
      </c>
      <c r="T25" s="134">
        <f t="shared" si="9"/>
        <v>227.39999999999998</v>
      </c>
      <c r="U25" s="46">
        <f t="shared" si="10"/>
        <v>1.5238775041568797</v>
      </c>
    </row>
    <row r="26" spans="1:21" s="46" customFormat="1" x14ac:dyDescent="0.3">
      <c r="A26" s="46" t="s">
        <v>20</v>
      </c>
      <c r="B26" s="46" t="s">
        <v>42</v>
      </c>
      <c r="C26" s="46">
        <v>1.107</v>
      </c>
      <c r="D26" s="46">
        <v>6.58</v>
      </c>
      <c r="E26" s="46">
        <v>2.1179999999999999</v>
      </c>
      <c r="F26" s="81">
        <f t="shared" si="2"/>
        <v>0.32188449848024314</v>
      </c>
      <c r="G26" s="46">
        <f t="shared" si="3"/>
        <v>1.0109999999999999</v>
      </c>
      <c r="H26" s="46">
        <f t="shared" si="11"/>
        <v>4.4619999999999997</v>
      </c>
      <c r="I26" s="46">
        <f t="shared" si="12"/>
        <v>4.4134520276953513</v>
      </c>
      <c r="J26" s="195">
        <f t="shared" si="13"/>
        <v>0.81527498629636397</v>
      </c>
      <c r="K26" s="134">
        <f t="shared" si="14"/>
        <v>4.4134520276953513</v>
      </c>
      <c r="L26" s="196">
        <v>11.9</v>
      </c>
      <c r="M26" s="132">
        <v>94.1</v>
      </c>
      <c r="N26" s="197">
        <f t="shared" si="15"/>
        <v>82.199999999999989</v>
      </c>
      <c r="O26" s="134">
        <f t="shared" si="16"/>
        <v>15.184396126438878</v>
      </c>
      <c r="P26" s="134">
        <f t="shared" si="6"/>
        <v>22.776594189658319</v>
      </c>
      <c r="Q26" s="134">
        <f t="shared" si="7"/>
        <v>37.960990316097195</v>
      </c>
      <c r="R26" s="134">
        <f t="shared" si="8"/>
        <v>49.860990316097194</v>
      </c>
      <c r="S26" s="46">
        <f>52.1-(45.791-44.2)</f>
        <v>50.509000000000007</v>
      </c>
      <c r="T26" s="134">
        <f t="shared" si="9"/>
        <v>38.609000000000009</v>
      </c>
      <c r="U26" s="46">
        <f t="shared" si="10"/>
        <v>1.5426760260010939</v>
      </c>
    </row>
    <row r="27" spans="1:21" s="46" customFormat="1" x14ac:dyDescent="0.3">
      <c r="A27" s="46" t="s">
        <v>21</v>
      </c>
      <c r="B27" s="46" t="s">
        <v>43</v>
      </c>
      <c r="C27" s="46">
        <v>1.1890000000000001</v>
      </c>
      <c r="D27" s="46">
        <v>8.5289999999999999</v>
      </c>
      <c r="E27" s="46">
        <v>1.87</v>
      </c>
      <c r="F27" s="81">
        <f t="shared" si="2"/>
        <v>0.21925196388791185</v>
      </c>
      <c r="G27" s="46">
        <f t="shared" si="3"/>
        <v>0.68100000000000005</v>
      </c>
      <c r="H27" s="46">
        <f t="shared" si="11"/>
        <v>6.6589999999999998</v>
      </c>
      <c r="I27" s="46">
        <f t="shared" si="12"/>
        <v>9.7782672540381785</v>
      </c>
      <c r="J27" s="195">
        <f t="shared" si="13"/>
        <v>0.90722070844686653</v>
      </c>
      <c r="K27" s="134">
        <f t="shared" si="14"/>
        <v>9.7782672540381785</v>
      </c>
      <c r="L27" s="196">
        <v>12</v>
      </c>
      <c r="M27" s="132">
        <v>155.1</v>
      </c>
      <c r="N27" s="197">
        <f t="shared" si="15"/>
        <v>143.1</v>
      </c>
      <c r="O27" s="134">
        <f t="shared" si="16"/>
        <v>13.276716621253406</v>
      </c>
      <c r="P27" s="134">
        <f t="shared" si="6"/>
        <v>19.91507493188011</v>
      </c>
      <c r="Q27" s="134">
        <f t="shared" si="7"/>
        <v>33.191791553133513</v>
      </c>
      <c r="R27" s="134">
        <f t="shared" si="8"/>
        <v>45.191791553133513</v>
      </c>
      <c r="S27" s="46">
        <f>47-(41.42-40.3)</f>
        <v>45.879999999999995</v>
      </c>
      <c r="T27" s="134">
        <f t="shared" si="9"/>
        <v>33.879999999999995</v>
      </c>
      <c r="U27" s="46">
        <f t="shared" si="10"/>
        <v>1.5518357412076411</v>
      </c>
    </row>
    <row r="28" spans="1:21" s="46" customFormat="1" x14ac:dyDescent="0.3">
      <c r="A28" s="46" t="s">
        <v>22</v>
      </c>
      <c r="B28" s="46" t="s">
        <v>44</v>
      </c>
      <c r="C28" s="46">
        <v>1.167</v>
      </c>
      <c r="D28" s="46">
        <v>7.742</v>
      </c>
      <c r="E28" s="46">
        <v>1.665</v>
      </c>
      <c r="F28" s="81">
        <f t="shared" si="2"/>
        <v>0.21506070782743478</v>
      </c>
      <c r="G28" s="46">
        <f t="shared" si="3"/>
        <v>0.498</v>
      </c>
      <c r="H28" s="46">
        <f t="shared" si="11"/>
        <v>6.077</v>
      </c>
      <c r="I28" s="46">
        <f t="shared" si="12"/>
        <v>12.20281124497992</v>
      </c>
      <c r="J28" s="195">
        <f t="shared" si="13"/>
        <v>0.92425855513307986</v>
      </c>
      <c r="K28" s="134">
        <f t="shared" si="14"/>
        <v>12.20281124497992</v>
      </c>
      <c r="L28" s="196">
        <v>12.1</v>
      </c>
      <c r="M28" s="132">
        <v>174.7</v>
      </c>
      <c r="N28" s="197">
        <f t="shared" si="15"/>
        <v>162.6</v>
      </c>
      <c r="O28" s="134">
        <f t="shared" si="16"/>
        <v>12.315558935361217</v>
      </c>
      <c r="P28" s="134">
        <f t="shared" si="6"/>
        <v>18.473338403041826</v>
      </c>
      <c r="Q28" s="134">
        <f t="shared" si="7"/>
        <v>30.788897338403043</v>
      </c>
      <c r="R28" s="134">
        <f t="shared" si="8"/>
        <v>42.888897338403041</v>
      </c>
      <c r="S28" s="46">
        <v>43.7</v>
      </c>
      <c r="T28" s="134">
        <f t="shared" si="9"/>
        <v>31.6</v>
      </c>
      <c r="U28" s="46">
        <f t="shared" si="10"/>
        <v>1.5658599959493571</v>
      </c>
    </row>
    <row r="29" spans="1:21" s="46" customFormat="1" x14ac:dyDescent="0.3">
      <c r="A29" s="46" t="s">
        <v>45</v>
      </c>
      <c r="B29" s="46" t="s">
        <v>66</v>
      </c>
      <c r="C29" s="46">
        <v>1.1779999999999999</v>
      </c>
      <c r="D29" s="46">
        <v>8.5250000000000004</v>
      </c>
      <c r="E29" s="46">
        <v>1.5109999999999999</v>
      </c>
      <c r="F29" s="81">
        <f t="shared" si="2"/>
        <v>0.17724340175953077</v>
      </c>
      <c r="G29" s="46">
        <f t="shared" si="3"/>
        <v>0.33299999999999996</v>
      </c>
      <c r="H29" s="46">
        <f t="shared" si="11"/>
        <v>7.0140000000000002</v>
      </c>
      <c r="I29" s="46">
        <f t="shared" si="12"/>
        <v>21.063063063063066</v>
      </c>
      <c r="J29" s="195">
        <f t="shared" si="13"/>
        <v>0.95467537770518573</v>
      </c>
      <c r="K29" s="134">
        <f t="shared" si="14"/>
        <v>21.063063063063066</v>
      </c>
      <c r="L29" s="196">
        <v>38.5</v>
      </c>
      <c r="M29" s="132">
        <v>683.7</v>
      </c>
      <c r="N29" s="197">
        <f t="shared" si="15"/>
        <v>645.20000000000005</v>
      </c>
      <c r="O29" s="134">
        <f>N29/(1+K29)</f>
        <v>29.243446304614128</v>
      </c>
      <c r="P29" s="134">
        <f>O29*2.5</f>
        <v>73.108615761535319</v>
      </c>
      <c r="Q29" s="134">
        <f t="shared" si="7"/>
        <v>102.35206206614944</v>
      </c>
      <c r="R29" s="134">
        <f>Q29+L29</f>
        <v>140.85206206614944</v>
      </c>
      <c r="S29" s="46">
        <v>142</v>
      </c>
      <c r="T29" s="134">
        <f t="shared" si="9"/>
        <v>103.5</v>
      </c>
      <c r="U29" s="46">
        <f t="shared" si="10"/>
        <v>2.539254536619695</v>
      </c>
    </row>
    <row r="30" spans="1:21" s="46" customFormat="1" x14ac:dyDescent="0.3">
      <c r="A30" s="46" t="s">
        <v>46</v>
      </c>
      <c r="B30" s="46" t="s">
        <v>67</v>
      </c>
      <c r="C30" s="46">
        <v>1.1759999999999999</v>
      </c>
      <c r="D30" s="46">
        <v>8.2249999999999996</v>
      </c>
      <c r="E30" s="46">
        <v>2.327</v>
      </c>
      <c r="F30" s="81">
        <f t="shared" si="2"/>
        <v>0.28291793313069907</v>
      </c>
      <c r="G30" s="46">
        <f t="shared" si="3"/>
        <v>1.151</v>
      </c>
      <c r="H30" s="46">
        <f t="shared" si="11"/>
        <v>5.8979999999999997</v>
      </c>
      <c r="I30" s="46">
        <f t="shared" si="12"/>
        <v>5.1242397914856639</v>
      </c>
      <c r="J30" s="195">
        <f t="shared" si="13"/>
        <v>0.83671442757837988</v>
      </c>
      <c r="K30" s="134">
        <f t="shared" si="14"/>
        <v>5.1242397914856639</v>
      </c>
      <c r="L30" s="196">
        <v>12.3</v>
      </c>
      <c r="M30" s="132">
        <v>251.6</v>
      </c>
      <c r="N30" s="197">
        <f t="shared" si="15"/>
        <v>239.29999999999998</v>
      </c>
      <c r="O30" s="134">
        <f t="shared" si="16"/>
        <v>39.074237480493686</v>
      </c>
      <c r="P30" s="134">
        <f t="shared" si="6"/>
        <v>58.611356220740532</v>
      </c>
      <c r="Q30" s="134">
        <f t="shared" si="7"/>
        <v>97.685593701234211</v>
      </c>
      <c r="R30" s="134">
        <f t="shared" si="8"/>
        <v>109.98559370123421</v>
      </c>
      <c r="S30" s="46">
        <v>110</v>
      </c>
      <c r="T30" s="134">
        <f t="shared" si="9"/>
        <v>97.7</v>
      </c>
      <c r="U30" s="46">
        <f t="shared" si="10"/>
        <v>1.5003686904644775</v>
      </c>
    </row>
    <row r="31" spans="1:21" s="46" customFormat="1" x14ac:dyDescent="0.3">
      <c r="A31" s="46" t="s">
        <v>47</v>
      </c>
      <c r="B31" s="46" t="s">
        <v>68</v>
      </c>
      <c r="C31" s="46">
        <v>1.165</v>
      </c>
      <c r="D31" s="46">
        <v>8.6959999999999997</v>
      </c>
      <c r="E31" s="46">
        <v>2.5830000000000002</v>
      </c>
      <c r="F31" s="81">
        <f t="shared" si="2"/>
        <v>0.29703311867525301</v>
      </c>
      <c r="G31" s="46">
        <f t="shared" si="3"/>
        <v>1.4180000000000001</v>
      </c>
      <c r="H31" s="46">
        <f t="shared" si="11"/>
        <v>6.1129999999999995</v>
      </c>
      <c r="I31" s="46">
        <f t="shared" si="12"/>
        <v>4.3110014104372345</v>
      </c>
      <c r="J31" s="195">
        <f t="shared" si="13"/>
        <v>0.81171159208604438</v>
      </c>
      <c r="K31" s="134">
        <f t="shared" si="14"/>
        <v>4.3110014104372345</v>
      </c>
      <c r="L31" s="196">
        <v>12.3</v>
      </c>
      <c r="M31" s="132">
        <v>244.7</v>
      </c>
      <c r="N31" s="197">
        <f t="shared" si="15"/>
        <v>232.39999999999998</v>
      </c>
      <c r="O31" s="134">
        <f t="shared" si="16"/>
        <v>43.758225999203297</v>
      </c>
      <c r="P31" s="134">
        <f t="shared" si="6"/>
        <v>65.63733899880495</v>
      </c>
      <c r="Q31" s="134">
        <f t="shared" si="7"/>
        <v>109.39556499800824</v>
      </c>
      <c r="R31" s="134">
        <f t="shared" si="8"/>
        <v>121.69556499800824</v>
      </c>
      <c r="S31" s="46">
        <f>129.2-(124.816-118.3)</f>
        <v>122.68399999999998</v>
      </c>
      <c r="T31" s="134">
        <f t="shared" si="9"/>
        <v>110.38399999999999</v>
      </c>
      <c r="U31" s="46">
        <f t="shared" si="10"/>
        <v>1.5225885528816856</v>
      </c>
    </row>
    <row r="32" spans="1:21" s="46" customFormat="1" x14ac:dyDescent="0.3">
      <c r="A32" s="46" t="s">
        <v>48</v>
      </c>
      <c r="B32" s="46" t="s">
        <v>69</v>
      </c>
      <c r="C32" s="46">
        <v>1.1719999999999999</v>
      </c>
      <c r="D32" s="46">
        <v>8.8070000000000004</v>
      </c>
      <c r="E32" s="46">
        <v>2.0310000000000001</v>
      </c>
      <c r="F32" s="81">
        <f t="shared" si="2"/>
        <v>0.23061201317134097</v>
      </c>
      <c r="G32" s="46">
        <f t="shared" si="3"/>
        <v>0.85900000000000021</v>
      </c>
      <c r="H32" s="46">
        <f t="shared" si="11"/>
        <v>6.7759999999999998</v>
      </c>
      <c r="I32" s="46">
        <f t="shared" si="12"/>
        <v>7.888242142025609</v>
      </c>
      <c r="J32" s="195">
        <f t="shared" si="13"/>
        <v>0.88749181401440724</v>
      </c>
      <c r="K32" s="134">
        <f t="shared" si="14"/>
        <v>7.888242142025609</v>
      </c>
      <c r="L32" s="196">
        <v>12.2</v>
      </c>
      <c r="M32" s="132">
        <v>239.6</v>
      </c>
      <c r="N32" s="197">
        <f t="shared" si="15"/>
        <v>227.4</v>
      </c>
      <c r="O32" s="134">
        <f t="shared" si="16"/>
        <v>25.584361493123779</v>
      </c>
      <c r="P32" s="134">
        <f t="shared" si="6"/>
        <v>38.376542239685669</v>
      </c>
      <c r="Q32" s="134">
        <f t="shared" si="7"/>
        <v>63.960903732809449</v>
      </c>
      <c r="R32" s="134">
        <f t="shared" si="8"/>
        <v>76.160903732809444</v>
      </c>
      <c r="S32" s="46">
        <v>76.400000000000006</v>
      </c>
      <c r="T32" s="134">
        <f t="shared" si="9"/>
        <v>64.2</v>
      </c>
      <c r="U32" s="46">
        <f t="shared" si="10"/>
        <v>1.509345406851557</v>
      </c>
    </row>
    <row r="33" spans="1:21" s="46" customFormat="1" x14ac:dyDescent="0.3">
      <c r="A33" s="46" t="s">
        <v>49</v>
      </c>
      <c r="B33" s="46" t="s">
        <v>70</v>
      </c>
      <c r="C33" s="46">
        <v>1.1859999999999999</v>
      </c>
      <c r="D33" s="46">
        <v>10.884</v>
      </c>
      <c r="E33" s="46">
        <v>2.1629999999999998</v>
      </c>
      <c r="F33" s="81">
        <f t="shared" si="2"/>
        <v>0.19873208379272325</v>
      </c>
      <c r="G33" s="46">
        <f t="shared" si="3"/>
        <v>0.97699999999999987</v>
      </c>
      <c r="H33" s="46">
        <f t="shared" si="11"/>
        <v>8.7210000000000001</v>
      </c>
      <c r="I33" s="46">
        <f t="shared" si="12"/>
        <v>8.9263050153531225</v>
      </c>
      <c r="J33" s="195">
        <f t="shared" si="13"/>
        <v>0.89925757888224378</v>
      </c>
      <c r="K33" s="134">
        <f t="shared" si="14"/>
        <v>8.9263050153531225</v>
      </c>
      <c r="L33" s="196">
        <v>12.2</v>
      </c>
      <c r="M33" s="132">
        <v>239.5</v>
      </c>
      <c r="N33" s="197">
        <f t="shared" si="15"/>
        <v>227.3</v>
      </c>
      <c r="O33" s="134">
        <f t="shared" si="16"/>
        <v>22.898752320065991</v>
      </c>
      <c r="P33" s="134">
        <f t="shared" si="6"/>
        <v>34.348128480098985</v>
      </c>
      <c r="Q33" s="134">
        <f t="shared" si="7"/>
        <v>57.246880800164973</v>
      </c>
      <c r="R33" s="134">
        <f t="shared" si="8"/>
        <v>69.446880800164976</v>
      </c>
      <c r="S33" s="46">
        <f>74.6-(63.457-58.7)</f>
        <v>69.842999999999989</v>
      </c>
      <c r="T33" s="134">
        <f t="shared" si="9"/>
        <v>57.642999999999986</v>
      </c>
      <c r="U33" s="46">
        <f t="shared" si="10"/>
        <v>1.5172987241531011</v>
      </c>
    </row>
    <row r="34" spans="1:21" s="46" customFormat="1" x14ac:dyDescent="0.3">
      <c r="A34" s="46" t="s">
        <v>50</v>
      </c>
      <c r="B34" s="46" t="s">
        <v>71</v>
      </c>
      <c r="C34" s="46">
        <v>1.1830000000000001</v>
      </c>
      <c r="D34" s="46">
        <v>9.2690000000000001</v>
      </c>
      <c r="E34" s="46">
        <v>1.7370000000000001</v>
      </c>
      <c r="F34" s="81">
        <f t="shared" si="2"/>
        <v>0.18739885640306397</v>
      </c>
      <c r="G34" s="46">
        <f t="shared" si="3"/>
        <v>0.55400000000000005</v>
      </c>
      <c r="H34" s="46">
        <f t="shared" si="11"/>
        <v>7.532</v>
      </c>
      <c r="I34" s="46">
        <f t="shared" si="12"/>
        <v>13.595667870036101</v>
      </c>
      <c r="J34" s="195">
        <f t="shared" si="13"/>
        <v>0.93148651991095721</v>
      </c>
      <c r="K34" s="134">
        <f t="shared" si="14"/>
        <v>13.595667870036101</v>
      </c>
      <c r="L34" s="196">
        <v>38.9</v>
      </c>
      <c r="M34" s="132">
        <v>585.29999999999995</v>
      </c>
      <c r="N34" s="197">
        <f t="shared" si="15"/>
        <v>546.4</v>
      </c>
      <c r="O34" s="134">
        <f t="shared" si="16"/>
        <v>37.435765520652978</v>
      </c>
      <c r="P34" s="134">
        <f>O34*2.5</f>
        <v>93.589413801632446</v>
      </c>
      <c r="Q34" s="134">
        <f>O34+P34</f>
        <v>131.02517932228542</v>
      </c>
      <c r="R34" s="134">
        <f t="shared" si="8"/>
        <v>169.92517932228543</v>
      </c>
      <c r="S34" s="46">
        <f>133.2+38.4</f>
        <v>171.6</v>
      </c>
      <c r="T34" s="134">
        <f t="shared" si="9"/>
        <v>132.69999999999999</v>
      </c>
      <c r="U34" s="46">
        <f t="shared" si="10"/>
        <v>2.5447385182170397</v>
      </c>
    </row>
    <row r="35" spans="1:21" s="46" customFormat="1" x14ac:dyDescent="0.3">
      <c r="A35" s="46" t="s">
        <v>51</v>
      </c>
      <c r="B35" s="46" t="s">
        <v>72</v>
      </c>
      <c r="C35" s="46">
        <v>1.1679999999999999</v>
      </c>
      <c r="D35" s="46">
        <v>8.3569999999999993</v>
      </c>
      <c r="E35" s="46">
        <v>2.7879999999999998</v>
      </c>
      <c r="F35" s="81">
        <f t="shared" si="2"/>
        <v>0.33361254038530574</v>
      </c>
      <c r="G35" s="46">
        <f t="shared" si="3"/>
        <v>1.6199999999999999</v>
      </c>
      <c r="H35" s="46">
        <f t="shared" si="11"/>
        <v>5.5689999999999991</v>
      </c>
      <c r="I35" s="46">
        <f t="shared" si="12"/>
        <v>3.437654320987654</v>
      </c>
      <c r="J35" s="195">
        <f t="shared" si="13"/>
        <v>0.77465572402281258</v>
      </c>
      <c r="K35" s="134">
        <f t="shared" si="14"/>
        <v>3.437654320987654</v>
      </c>
      <c r="L35" s="196">
        <v>11</v>
      </c>
      <c r="M35" s="132">
        <v>170.8</v>
      </c>
      <c r="N35" s="197">
        <f t="shared" si="15"/>
        <v>159.80000000000001</v>
      </c>
      <c r="O35" s="134">
        <f t="shared" si="16"/>
        <v>36.010015301154546</v>
      </c>
      <c r="P35" s="134">
        <f t="shared" si="6"/>
        <v>54.015022951731822</v>
      </c>
      <c r="Q35" s="134">
        <f>O35+P35</f>
        <v>90.025038252886361</v>
      </c>
      <c r="R35" s="134">
        <f t="shared" si="8"/>
        <v>101.02503825288636</v>
      </c>
      <c r="S35" s="46">
        <f>97.6+5.1</f>
        <v>102.69999999999999</v>
      </c>
      <c r="T35" s="134">
        <f t="shared" si="9"/>
        <v>91.699999999999989</v>
      </c>
      <c r="U35" s="46">
        <f t="shared" si="10"/>
        <v>1.5465137749347171</v>
      </c>
    </row>
    <row r="36" spans="1:21" s="46" customFormat="1" x14ac:dyDescent="0.3">
      <c r="A36" s="46" t="s">
        <v>52</v>
      </c>
      <c r="B36" s="46" t="s">
        <v>73</v>
      </c>
      <c r="C36" s="46">
        <v>1.1830000000000001</v>
      </c>
      <c r="D36" s="46">
        <v>9.9009999999999998</v>
      </c>
      <c r="E36" s="46">
        <v>2.8069999999999999</v>
      </c>
      <c r="F36" s="81">
        <f t="shared" si="2"/>
        <v>0.28350671649328352</v>
      </c>
      <c r="G36" s="46">
        <f t="shared" si="3"/>
        <v>1.6239999999999999</v>
      </c>
      <c r="H36" s="46">
        <f t="shared" si="11"/>
        <v>7.0939999999999994</v>
      </c>
      <c r="I36" s="46">
        <f t="shared" si="12"/>
        <v>4.3682266009852215</v>
      </c>
      <c r="J36" s="195">
        <f t="shared" si="13"/>
        <v>0.81371874283092449</v>
      </c>
      <c r="K36" s="134">
        <f t="shared" si="14"/>
        <v>4.3682266009852215</v>
      </c>
      <c r="L36" s="196">
        <v>12.1</v>
      </c>
      <c r="M36" s="132">
        <v>214</v>
      </c>
      <c r="N36" s="197">
        <f t="shared" si="15"/>
        <v>201.9</v>
      </c>
      <c r="O36" s="134">
        <f t="shared" si="16"/>
        <v>37.610185822436343</v>
      </c>
      <c r="P36" s="134">
        <f t="shared" si="6"/>
        <v>56.415278733654517</v>
      </c>
      <c r="Q36" s="134">
        <f t="shared" si="7"/>
        <v>94.025464556090867</v>
      </c>
      <c r="R36" s="134">
        <f t="shared" si="8"/>
        <v>106.12546455609086</v>
      </c>
      <c r="S36" s="46">
        <v>107.3</v>
      </c>
      <c r="T36" s="134">
        <f t="shared" si="9"/>
        <v>95.2</v>
      </c>
      <c r="U36" s="46">
        <f t="shared" si="10"/>
        <v>1.5312291848132396</v>
      </c>
    </row>
    <row r="37" spans="1:21" s="46" customFormat="1" x14ac:dyDescent="0.3">
      <c r="A37" s="46" t="s">
        <v>53</v>
      </c>
      <c r="B37" s="46" t="s">
        <v>74</v>
      </c>
      <c r="C37" s="46">
        <v>1.1759999999999999</v>
      </c>
      <c r="D37" s="46">
        <v>10.292999999999999</v>
      </c>
      <c r="E37" s="46">
        <v>2.077</v>
      </c>
      <c r="F37" s="81">
        <f t="shared" si="2"/>
        <v>0.20178762265617411</v>
      </c>
      <c r="G37" s="46">
        <f t="shared" si="3"/>
        <v>0.90100000000000002</v>
      </c>
      <c r="H37" s="46">
        <f t="shared" si="11"/>
        <v>8.2159999999999993</v>
      </c>
      <c r="I37" s="46">
        <f t="shared" si="12"/>
        <v>9.1187569367369576</v>
      </c>
      <c r="J37" s="195">
        <f t="shared" si="13"/>
        <v>0.90117363167708675</v>
      </c>
      <c r="K37" s="134">
        <f t="shared" si="14"/>
        <v>9.1187569367369576</v>
      </c>
      <c r="L37" s="196">
        <v>12.2</v>
      </c>
      <c r="M37" s="132">
        <v>187.7</v>
      </c>
      <c r="N37" s="197">
        <f t="shared" si="15"/>
        <v>175.5</v>
      </c>
      <c r="O37" s="134">
        <f t="shared" si="16"/>
        <v>17.344027640671275</v>
      </c>
      <c r="P37" s="134">
        <f t="shared" si="6"/>
        <v>26.016041461006914</v>
      </c>
      <c r="Q37" s="134">
        <f t="shared" si="7"/>
        <v>43.360069101678192</v>
      </c>
      <c r="R37" s="134">
        <f t="shared" si="8"/>
        <v>55.560069101678195</v>
      </c>
      <c r="S37" s="46">
        <v>56.4</v>
      </c>
      <c r="T37" s="134">
        <f t="shared" si="9"/>
        <v>44.2</v>
      </c>
      <c r="U37" s="46">
        <f t="shared" si="10"/>
        <v>1.5484276729559747</v>
      </c>
    </row>
    <row r="38" spans="1:21" s="46" customFormat="1" x14ac:dyDescent="0.3">
      <c r="A38" s="46" t="s">
        <v>54</v>
      </c>
      <c r="B38" s="46" t="s">
        <v>75</v>
      </c>
      <c r="C38" s="46">
        <v>1.1779999999999999</v>
      </c>
      <c r="D38" s="46">
        <v>9.24</v>
      </c>
      <c r="E38" s="46">
        <v>2.0339999999999998</v>
      </c>
      <c r="F38" s="81">
        <f t="shared" si="2"/>
        <v>0.22012987012987009</v>
      </c>
      <c r="G38" s="46">
        <f t="shared" si="3"/>
        <v>0.85599999999999987</v>
      </c>
      <c r="H38" s="46">
        <f t="shared" si="11"/>
        <v>7.2060000000000004</v>
      </c>
      <c r="I38" s="46">
        <f t="shared" si="12"/>
        <v>8.4182242990654217</v>
      </c>
      <c r="J38" s="195">
        <f t="shared" si="13"/>
        <v>0.89382287273629368</v>
      </c>
      <c r="K38" s="134">
        <f t="shared" si="14"/>
        <v>8.4182242990654217</v>
      </c>
      <c r="L38" s="196">
        <v>12.1</v>
      </c>
      <c r="M38" s="132">
        <v>271.7</v>
      </c>
      <c r="N38" s="197">
        <f t="shared" si="15"/>
        <v>259.59999999999997</v>
      </c>
      <c r="O38" s="134">
        <f t="shared" si="16"/>
        <v>27.563582237658142</v>
      </c>
      <c r="P38" s="134">
        <f t="shared" si="6"/>
        <v>41.345373356487215</v>
      </c>
      <c r="Q38" s="134">
        <f t="shared" si="7"/>
        <v>68.908955594145354</v>
      </c>
      <c r="R38" s="134">
        <f t="shared" si="8"/>
        <v>81.008955594145348</v>
      </c>
      <c r="S38" s="46">
        <v>82.4</v>
      </c>
      <c r="T38" s="134">
        <f t="shared" si="9"/>
        <v>70.300000000000011</v>
      </c>
      <c r="U38" s="46">
        <f t="shared" si="10"/>
        <v>1.550466749708395</v>
      </c>
    </row>
    <row r="39" spans="1:21" s="46" customFormat="1" x14ac:dyDescent="0.3">
      <c r="A39" s="46" t="s">
        <v>55</v>
      </c>
      <c r="B39" s="46" t="s">
        <v>76</v>
      </c>
      <c r="C39" s="46">
        <v>1.181</v>
      </c>
      <c r="D39" s="46">
        <v>8.8219999999999992</v>
      </c>
      <c r="E39" s="46">
        <v>1.601</v>
      </c>
      <c r="F39" s="81">
        <f t="shared" si="2"/>
        <v>0.18147812287463161</v>
      </c>
      <c r="G39" s="46">
        <f t="shared" si="3"/>
        <v>0.41999999999999993</v>
      </c>
      <c r="H39" s="46">
        <f t="shared" si="11"/>
        <v>7.2209999999999992</v>
      </c>
      <c r="I39" s="46">
        <f t="shared" si="12"/>
        <v>17.192857142857143</v>
      </c>
      <c r="J39" s="195">
        <f t="shared" si="13"/>
        <v>0.94503337259521003</v>
      </c>
      <c r="K39" s="134">
        <f t="shared" si="14"/>
        <v>17.192857142857143</v>
      </c>
      <c r="L39" s="196">
        <v>25.4</v>
      </c>
      <c r="M39" s="132">
        <v>867.9</v>
      </c>
      <c r="N39" s="197">
        <f t="shared" si="15"/>
        <v>842.5</v>
      </c>
      <c r="O39" s="134">
        <f t="shared" si="16"/>
        <v>46.309383588535532</v>
      </c>
      <c r="P39" s="134">
        <f>O39*2.5</f>
        <v>115.77345897133883</v>
      </c>
      <c r="Q39" s="134">
        <f>O39+P39</f>
        <v>162.08284255987436</v>
      </c>
      <c r="R39" s="134">
        <f t="shared" si="8"/>
        <v>187.48284255987437</v>
      </c>
      <c r="S39" s="46">
        <v>188.4</v>
      </c>
      <c r="T39" s="134">
        <f t="shared" si="9"/>
        <v>163</v>
      </c>
      <c r="U39" s="46">
        <f t="shared" si="10"/>
        <v>2.5198050021195422</v>
      </c>
    </row>
    <row r="40" spans="1:21" s="46" customFormat="1" x14ac:dyDescent="0.3">
      <c r="A40" s="46" t="s">
        <v>56</v>
      </c>
      <c r="B40" s="46" t="s">
        <v>77</v>
      </c>
      <c r="C40" s="46">
        <v>1.177</v>
      </c>
      <c r="D40" s="46">
        <v>8.9920000000000009</v>
      </c>
      <c r="E40" s="46">
        <v>2.6760000000000002</v>
      </c>
      <c r="F40" s="81">
        <f t="shared" si="2"/>
        <v>0.29759786476868327</v>
      </c>
      <c r="G40" s="46">
        <f t="shared" si="3"/>
        <v>1.4990000000000001</v>
      </c>
      <c r="H40" s="46">
        <f t="shared" si="11"/>
        <v>6.3160000000000007</v>
      </c>
      <c r="I40" s="46">
        <f t="shared" si="12"/>
        <v>4.2134756504336224</v>
      </c>
      <c r="J40" s="195">
        <f t="shared" si="13"/>
        <v>0.80818937939859237</v>
      </c>
      <c r="K40" s="134">
        <f t="shared" si="14"/>
        <v>4.2134756504336224</v>
      </c>
      <c r="L40" s="196">
        <v>12.1</v>
      </c>
      <c r="M40" s="132">
        <v>216.4</v>
      </c>
      <c r="N40" s="197">
        <f t="shared" si="15"/>
        <v>204.3</v>
      </c>
      <c r="O40" s="134">
        <f t="shared" si="16"/>
        <v>39.186909788867567</v>
      </c>
      <c r="P40" s="134">
        <f t="shared" si="6"/>
        <v>58.78036468330135</v>
      </c>
      <c r="Q40" s="134">
        <f t="shared" si="7"/>
        <v>97.967274472168924</v>
      </c>
      <c r="R40" s="134">
        <f t="shared" si="8"/>
        <v>110.06727447216892</v>
      </c>
      <c r="S40" s="46">
        <v>111.5</v>
      </c>
      <c r="T40" s="134">
        <f t="shared" si="9"/>
        <v>99.4</v>
      </c>
      <c r="U40" s="46">
        <f t="shared" si="10"/>
        <v>1.5365613296774452</v>
      </c>
    </row>
    <row r="41" spans="1:21" s="46" customFormat="1" x14ac:dyDescent="0.3">
      <c r="A41" s="46" t="s">
        <v>57</v>
      </c>
      <c r="B41" s="46" t="s">
        <v>78</v>
      </c>
      <c r="C41" s="46">
        <v>1.19</v>
      </c>
      <c r="D41" s="46">
        <v>10.802</v>
      </c>
      <c r="E41" s="46">
        <v>2.9049999999999998</v>
      </c>
      <c r="F41" s="81">
        <f t="shared" si="2"/>
        <v>0.2689316793186447</v>
      </c>
      <c r="G41" s="46">
        <f t="shared" si="3"/>
        <v>1.7149999999999999</v>
      </c>
      <c r="H41" s="46">
        <f t="shared" si="11"/>
        <v>7.8970000000000002</v>
      </c>
      <c r="I41" s="46">
        <f t="shared" si="12"/>
        <v>4.6046647230320703</v>
      </c>
      <c r="J41" s="195">
        <f t="shared" si="13"/>
        <v>0.82157719517270078</v>
      </c>
      <c r="K41" s="134">
        <f t="shared" si="14"/>
        <v>4.6046647230320703</v>
      </c>
      <c r="L41" s="196">
        <v>12.7</v>
      </c>
      <c r="M41" s="132">
        <v>215.9</v>
      </c>
      <c r="N41" s="197">
        <f t="shared" si="15"/>
        <v>203.20000000000002</v>
      </c>
      <c r="O41" s="134">
        <f t="shared" si="16"/>
        <v>36.2555139409072</v>
      </c>
      <c r="P41" s="134">
        <f t="shared" si="6"/>
        <v>54.383270911360796</v>
      </c>
      <c r="Q41" s="134">
        <f t="shared" si="7"/>
        <v>90.638784852268003</v>
      </c>
      <c r="R41" s="134">
        <f t="shared" si="8"/>
        <v>103.33878485226801</v>
      </c>
      <c r="S41" s="46">
        <v>104.2</v>
      </c>
      <c r="T41" s="134">
        <f t="shared" si="9"/>
        <v>91.5</v>
      </c>
      <c r="U41" s="46">
        <f t="shared" si="10"/>
        <v>1.523754046050366</v>
      </c>
    </row>
    <row r="42" spans="1:21" s="46" customFormat="1" x14ac:dyDescent="0.3">
      <c r="A42" s="46" t="s">
        <v>58</v>
      </c>
      <c r="B42" s="46" t="s">
        <v>79</v>
      </c>
      <c r="C42" s="46">
        <v>1.1779999999999999</v>
      </c>
      <c r="D42" s="46">
        <v>9.89</v>
      </c>
      <c r="E42" s="46">
        <v>2.0339999999999998</v>
      </c>
      <c r="F42" s="81">
        <f t="shared" si="2"/>
        <v>0.20566228513650148</v>
      </c>
      <c r="G42" s="46">
        <f t="shared" si="3"/>
        <v>0.85599999999999987</v>
      </c>
      <c r="H42" s="46">
        <f t="shared" si="11"/>
        <v>7.8560000000000008</v>
      </c>
      <c r="I42" s="46">
        <f t="shared" si="12"/>
        <v>9.1775700934579465</v>
      </c>
      <c r="J42" s="195">
        <f t="shared" si="13"/>
        <v>0.90174471992653826</v>
      </c>
      <c r="K42" s="134">
        <f t="shared" si="14"/>
        <v>9.1775700934579465</v>
      </c>
      <c r="L42" s="196">
        <v>12.1</v>
      </c>
      <c r="M42" s="132">
        <v>242.6</v>
      </c>
      <c r="N42" s="197">
        <f t="shared" si="15"/>
        <v>230.5</v>
      </c>
      <c r="O42" s="134">
        <f t="shared" si="16"/>
        <v>22.647842056932959</v>
      </c>
      <c r="P42" s="134">
        <f t="shared" si="6"/>
        <v>33.971763085399438</v>
      </c>
      <c r="Q42" s="134">
        <f t="shared" si="7"/>
        <v>56.619605142332396</v>
      </c>
      <c r="R42" s="134">
        <f t="shared" si="8"/>
        <v>68.719605142332398</v>
      </c>
      <c r="S42" s="46">
        <v>69.8</v>
      </c>
      <c r="T42" s="134">
        <f t="shared" si="9"/>
        <v>57.699999999999996</v>
      </c>
      <c r="U42" s="46">
        <f t="shared" si="10"/>
        <v>1.5477040971476075</v>
      </c>
    </row>
    <row r="43" spans="1:21" s="46" customFormat="1" x14ac:dyDescent="0.3">
      <c r="A43" s="46" t="s">
        <v>59</v>
      </c>
      <c r="B43" s="46" t="s">
        <v>80</v>
      </c>
      <c r="C43" s="46">
        <v>1.1910000000000001</v>
      </c>
      <c r="D43" s="46">
        <v>8.3889999999999993</v>
      </c>
      <c r="E43" s="46">
        <v>1.998</v>
      </c>
      <c r="F43" s="81">
        <f t="shared" si="2"/>
        <v>0.23816903087376329</v>
      </c>
      <c r="G43" s="46">
        <f t="shared" si="3"/>
        <v>0.80699999999999994</v>
      </c>
      <c r="H43" s="46">
        <f t="shared" si="11"/>
        <v>6.3909999999999991</v>
      </c>
      <c r="I43" s="46">
        <f t="shared" si="12"/>
        <v>7.9194547707558858</v>
      </c>
      <c r="J43" s="195">
        <f t="shared" si="13"/>
        <v>0.88788552375659902</v>
      </c>
      <c r="K43" s="134">
        <f t="shared" si="14"/>
        <v>7.9194547707558858</v>
      </c>
      <c r="L43" s="196">
        <v>11.5</v>
      </c>
      <c r="M43" s="132">
        <v>252.4</v>
      </c>
      <c r="N43" s="197">
        <f t="shared" si="15"/>
        <v>240.9</v>
      </c>
      <c r="O43" s="134">
        <f t="shared" si="16"/>
        <v>27.008377327035287</v>
      </c>
      <c r="P43" s="134">
        <f t="shared" si="6"/>
        <v>40.512565990552929</v>
      </c>
      <c r="Q43" s="134">
        <f t="shared" si="7"/>
        <v>67.52094331758822</v>
      </c>
      <c r="R43" s="134">
        <f t="shared" si="8"/>
        <v>79.02094331758822</v>
      </c>
      <c r="S43" s="46">
        <v>80.5</v>
      </c>
      <c r="T43" s="134">
        <f t="shared" si="9"/>
        <v>69</v>
      </c>
      <c r="U43" s="46">
        <f t="shared" si="10"/>
        <v>1.554762885770677</v>
      </c>
    </row>
    <row r="44" spans="1:21" s="46" customFormat="1" x14ac:dyDescent="0.3">
      <c r="A44" s="46" t="s">
        <v>60</v>
      </c>
      <c r="B44" s="46" t="s">
        <v>81</v>
      </c>
      <c r="C44" s="46">
        <v>1.1839999999999999</v>
      </c>
      <c r="D44" s="46">
        <v>10.695</v>
      </c>
      <c r="E44" s="46">
        <v>1.8169999999999999</v>
      </c>
      <c r="F44" s="81">
        <f t="shared" si="2"/>
        <v>0.16989247311827957</v>
      </c>
      <c r="G44" s="46">
        <f t="shared" si="3"/>
        <v>0.63300000000000001</v>
      </c>
      <c r="H44" s="46">
        <f t="shared" si="11"/>
        <v>8.8780000000000001</v>
      </c>
      <c r="I44" s="46">
        <f t="shared" si="12"/>
        <v>14.025276461295419</v>
      </c>
      <c r="J44" s="195">
        <f t="shared" si="13"/>
        <v>0.93344548417621698</v>
      </c>
      <c r="K44" s="134">
        <f t="shared" si="14"/>
        <v>14.025276461295419</v>
      </c>
      <c r="L44" s="196">
        <v>25.8</v>
      </c>
      <c r="M44" s="132">
        <v>343.4</v>
      </c>
      <c r="N44" s="197">
        <f t="shared" si="15"/>
        <v>317.59999999999997</v>
      </c>
      <c r="O44" s="134">
        <f t="shared" si="16"/>
        <v>21.137714225633474</v>
      </c>
      <c r="P44" s="134">
        <f>O44*2.5</f>
        <v>52.844285564083684</v>
      </c>
      <c r="Q44" s="134">
        <f t="shared" si="7"/>
        <v>73.98199978971715</v>
      </c>
      <c r="R44" s="134">
        <f t="shared" si="8"/>
        <v>99.781999789717148</v>
      </c>
      <c r="S44" s="46">
        <f>83.7-(87.39-82.7)+21.9</f>
        <v>100.91</v>
      </c>
      <c r="T44" s="134">
        <f t="shared" si="9"/>
        <v>75.11</v>
      </c>
      <c r="U44" s="46">
        <f t="shared" si="10"/>
        <v>2.5533643419644179</v>
      </c>
    </row>
    <row r="45" spans="1:21" s="46" customFormat="1" x14ac:dyDescent="0.3">
      <c r="A45" s="46" t="s">
        <v>61</v>
      </c>
      <c r="B45" s="46" t="s">
        <v>82</v>
      </c>
      <c r="C45" s="46">
        <v>1.18</v>
      </c>
      <c r="D45" s="46">
        <v>7.9749999999999996</v>
      </c>
      <c r="E45" s="46">
        <v>1.633</v>
      </c>
      <c r="F45" s="81">
        <f t="shared" si="2"/>
        <v>0.20476489028213168</v>
      </c>
      <c r="G45" s="46">
        <f t="shared" si="3"/>
        <v>0.45300000000000007</v>
      </c>
      <c r="H45" s="46">
        <f t="shared" si="11"/>
        <v>6.3419999999999996</v>
      </c>
      <c r="I45" s="46">
        <f t="shared" si="12"/>
        <v>13.999999999999996</v>
      </c>
      <c r="J45" s="195">
        <f t="shared" si="13"/>
        <v>0.93333333333333324</v>
      </c>
      <c r="K45" s="134">
        <f t="shared" si="14"/>
        <v>13.999999999999996</v>
      </c>
      <c r="L45" s="196">
        <v>12.3</v>
      </c>
      <c r="M45" s="132">
        <v>244.9</v>
      </c>
      <c r="N45" s="197">
        <f t="shared" si="15"/>
        <v>232.6</v>
      </c>
      <c r="O45" s="134">
        <f t="shared" si="16"/>
        <v>15.506666666666669</v>
      </c>
      <c r="P45" s="134">
        <f t="shared" si="6"/>
        <v>23.260000000000005</v>
      </c>
      <c r="Q45" s="134">
        <f t="shared" si="7"/>
        <v>38.766666666666673</v>
      </c>
      <c r="R45" s="134">
        <f t="shared" si="8"/>
        <v>51.066666666666677</v>
      </c>
      <c r="S45" s="46">
        <f>57.6-(79.266-73.8)</f>
        <v>52.133999999999993</v>
      </c>
      <c r="T45" s="134">
        <f t="shared" si="9"/>
        <v>39.833999999999989</v>
      </c>
      <c r="U45" s="46">
        <f t="shared" si="10"/>
        <v>1.5688306104901106</v>
      </c>
    </row>
    <row r="46" spans="1:21" s="46" customFormat="1" x14ac:dyDescent="0.3">
      <c r="A46" s="46" t="s">
        <v>62</v>
      </c>
      <c r="B46" s="46" t="s">
        <v>83</v>
      </c>
      <c r="C46" s="46">
        <v>1.165</v>
      </c>
      <c r="D46" s="46">
        <v>10.366</v>
      </c>
      <c r="E46" s="46">
        <v>2.927</v>
      </c>
      <c r="F46" s="81">
        <f t="shared" si="2"/>
        <v>0.28236542542928805</v>
      </c>
      <c r="G46" s="46">
        <f t="shared" si="3"/>
        <v>1.762</v>
      </c>
      <c r="H46" s="46">
        <f t="shared" si="11"/>
        <v>7.4390000000000001</v>
      </c>
      <c r="I46" s="46">
        <f t="shared" si="12"/>
        <v>4.2219069239500566</v>
      </c>
      <c r="J46" s="195">
        <f t="shared" si="13"/>
        <v>0.80849907618737094</v>
      </c>
      <c r="K46" s="134">
        <f t="shared" si="14"/>
        <v>4.2219069239500566</v>
      </c>
      <c r="L46" s="196">
        <v>11.5</v>
      </c>
      <c r="M46" s="132">
        <v>214.6</v>
      </c>
      <c r="N46" s="197">
        <f t="shared" si="15"/>
        <v>203.1</v>
      </c>
      <c r="O46" s="134">
        <f t="shared" si="16"/>
        <v>38.893837626344961</v>
      </c>
      <c r="P46" s="134">
        <f t="shared" si="6"/>
        <v>58.340756439517442</v>
      </c>
      <c r="Q46" s="134">
        <f>O46+P46</f>
        <v>97.23459406586241</v>
      </c>
      <c r="R46" s="134">
        <f t="shared" si="8"/>
        <v>108.73459406586241</v>
      </c>
      <c r="S46" s="46">
        <f>89.4+20.7</f>
        <v>110.10000000000001</v>
      </c>
      <c r="T46" s="134">
        <f>S46-L46</f>
        <v>98.600000000000009</v>
      </c>
      <c r="U46" s="46">
        <f t="shared" si="10"/>
        <v>1.5351059709575365</v>
      </c>
    </row>
    <row r="47" spans="1:21" s="46" customFormat="1" x14ac:dyDescent="0.3">
      <c r="A47" s="46" t="s">
        <v>63</v>
      </c>
      <c r="B47" s="46" t="s">
        <v>84</v>
      </c>
      <c r="C47" s="46">
        <v>1.177</v>
      </c>
      <c r="D47" s="46">
        <v>9.0399999999999991</v>
      </c>
      <c r="E47" s="46">
        <v>1.9279999999999999</v>
      </c>
      <c r="F47" s="81">
        <f t="shared" si="2"/>
        <v>0.21327433628318584</v>
      </c>
      <c r="G47" s="46">
        <f t="shared" si="3"/>
        <v>0.75099999999999989</v>
      </c>
      <c r="H47" s="46">
        <f t="shared" si="11"/>
        <v>7.1119999999999992</v>
      </c>
      <c r="I47" s="46">
        <f t="shared" si="12"/>
        <v>9.4700399467376837</v>
      </c>
      <c r="J47" s="195">
        <f t="shared" si="13"/>
        <v>0.90448938064352025</v>
      </c>
      <c r="K47" s="134">
        <f t="shared" si="14"/>
        <v>9.4700399467376837</v>
      </c>
      <c r="L47" s="196">
        <v>12.2</v>
      </c>
      <c r="M47" s="132">
        <v>252.2</v>
      </c>
      <c r="N47" s="197">
        <f t="shared" si="15"/>
        <v>240</v>
      </c>
      <c r="O47" s="134">
        <f t="shared" si="16"/>
        <v>22.922548645555132</v>
      </c>
      <c r="P47" s="134">
        <f t="shared" si="6"/>
        <v>34.383822968332694</v>
      </c>
      <c r="Q47" s="134">
        <f t="shared" si="7"/>
        <v>57.306371613887826</v>
      </c>
      <c r="R47" s="134">
        <f t="shared" si="8"/>
        <v>69.506371613887822</v>
      </c>
      <c r="S47" s="46">
        <f>72.6-(67.956-65.1)</f>
        <v>69.743999999999986</v>
      </c>
      <c r="T47" s="134">
        <f t="shared" si="9"/>
        <v>57.543999999999983</v>
      </c>
      <c r="U47" s="46">
        <f t="shared" si="10"/>
        <v>1.5103665778961377</v>
      </c>
    </row>
    <row r="48" spans="1:21" s="46" customFormat="1" x14ac:dyDescent="0.3">
      <c r="A48" s="46" t="s">
        <v>64</v>
      </c>
      <c r="B48" s="46" t="s">
        <v>85</v>
      </c>
      <c r="C48" s="46">
        <v>1.19</v>
      </c>
      <c r="D48" s="46">
        <v>8.4870000000000001</v>
      </c>
      <c r="E48" s="46">
        <v>1.8360000000000001</v>
      </c>
      <c r="F48" s="81">
        <f t="shared" si="2"/>
        <v>0.21633085896076354</v>
      </c>
      <c r="G48" s="46">
        <f t="shared" si="3"/>
        <v>0.64600000000000013</v>
      </c>
      <c r="H48" s="46">
        <f t="shared" si="11"/>
        <v>6.6509999999999998</v>
      </c>
      <c r="I48" s="46">
        <f t="shared" si="12"/>
        <v>10.29566563467492</v>
      </c>
      <c r="J48" s="195">
        <f t="shared" si="13"/>
        <v>0.91147046731533499</v>
      </c>
      <c r="K48" s="134">
        <f t="shared" si="14"/>
        <v>10.29566563467492</v>
      </c>
      <c r="L48" s="196">
        <v>13</v>
      </c>
      <c r="M48" s="132">
        <v>231.6</v>
      </c>
      <c r="N48" s="197">
        <f t="shared" si="15"/>
        <v>218.6</v>
      </c>
      <c r="O48" s="134">
        <f t="shared" si="16"/>
        <v>19.352555844867759</v>
      </c>
      <c r="P48" s="134">
        <f t="shared" si="6"/>
        <v>29.028833767301638</v>
      </c>
      <c r="Q48" s="134">
        <f t="shared" si="7"/>
        <v>48.3813896121694</v>
      </c>
      <c r="R48" s="134">
        <f t="shared" si="8"/>
        <v>61.3813896121694</v>
      </c>
      <c r="S48" s="46">
        <v>61.8</v>
      </c>
      <c r="T48" s="134">
        <f t="shared" si="9"/>
        <v>48.8</v>
      </c>
      <c r="U48" s="46">
        <f t="shared" si="10"/>
        <v>1.5216307546758283</v>
      </c>
    </row>
    <row r="57" spans="1:12" ht="18" x14ac:dyDescent="0.35">
      <c r="A57" s="3"/>
    </row>
    <row r="58" spans="1:12" x14ac:dyDescent="0.3">
      <c r="A58" s="5"/>
    </row>
    <row r="59" spans="1:12" x14ac:dyDescent="0.3">
      <c r="I59" s="1"/>
      <c r="J59" s="1"/>
      <c r="K59" s="1"/>
      <c r="L59" s="1"/>
    </row>
    <row r="61" spans="1:12" x14ac:dyDescent="0.3">
      <c r="A61" s="1"/>
      <c r="B61" s="1"/>
      <c r="C61" s="1"/>
      <c r="D61" s="6"/>
      <c r="E61" s="6"/>
      <c r="F61" s="6"/>
      <c r="G61" s="6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281D-4568-4163-A7F0-00FBFD9FCB76}">
  <dimension ref="A1:W28"/>
  <sheetViews>
    <sheetView zoomScaleNormal="100" workbookViewId="0">
      <selection activeCell="L23" sqref="L23:L26"/>
    </sheetView>
  </sheetViews>
  <sheetFormatPr baseColWidth="10" defaultRowHeight="14.4" x14ac:dyDescent="0.3"/>
  <cols>
    <col min="1" max="1" width="25.6640625" bestFit="1" customWidth="1"/>
    <col min="2" max="2" width="10.33203125" bestFit="1" customWidth="1"/>
    <col min="3" max="3" width="20.33203125" bestFit="1" customWidth="1"/>
    <col min="4" max="4" width="20.44140625" bestFit="1" customWidth="1"/>
    <col min="5" max="5" width="23.109375" bestFit="1" customWidth="1"/>
    <col min="6" max="6" width="23.109375" customWidth="1"/>
    <col min="7" max="7" width="23.44140625" bestFit="1" customWidth="1"/>
    <col min="8" max="8" width="30.77734375" bestFit="1" customWidth="1"/>
    <col min="9" max="9" width="32.33203125" bestFit="1" customWidth="1"/>
    <col min="10" max="10" width="31.88671875" bestFit="1" customWidth="1"/>
    <col min="11" max="12" width="40.21875" bestFit="1" customWidth="1"/>
    <col min="13" max="13" width="40.21875" customWidth="1"/>
    <col min="14" max="14" width="26.88671875" bestFit="1" customWidth="1"/>
    <col min="15" max="15" width="20.6640625" bestFit="1" customWidth="1"/>
    <col min="16" max="16" width="17.44140625" bestFit="1" customWidth="1"/>
    <col min="17" max="17" width="23.109375" bestFit="1" customWidth="1"/>
    <col min="18" max="18" width="38.21875" bestFit="1" customWidth="1"/>
    <col min="19" max="19" width="44.33203125" bestFit="1" customWidth="1"/>
    <col min="20" max="20" width="35.109375" bestFit="1" customWidth="1"/>
    <col min="21" max="21" width="29" bestFit="1" customWidth="1"/>
    <col min="22" max="22" width="17.88671875" bestFit="1" customWidth="1"/>
  </cols>
  <sheetData>
    <row r="1" spans="1:17" ht="18" x14ac:dyDescent="0.35">
      <c r="A1" s="3" t="s">
        <v>95</v>
      </c>
    </row>
    <row r="2" spans="1:17" x14ac:dyDescent="0.3">
      <c r="A2" s="5">
        <v>45603</v>
      </c>
    </row>
    <row r="3" spans="1:17" x14ac:dyDescent="0.3">
      <c r="A3" t="s">
        <v>96</v>
      </c>
    </row>
    <row r="4" spans="1:17" x14ac:dyDescent="0.3">
      <c r="A4" s="8" t="s">
        <v>110</v>
      </c>
    </row>
    <row r="5" spans="1:17" x14ac:dyDescent="0.3">
      <c r="K5" s="4"/>
    </row>
    <row r="7" spans="1:17" x14ac:dyDescent="0.3">
      <c r="A7" s="1" t="s">
        <v>2</v>
      </c>
      <c r="B7" s="1" t="s">
        <v>89</v>
      </c>
      <c r="C7" s="1" t="s">
        <v>97</v>
      </c>
      <c r="D7" s="1" t="s">
        <v>98</v>
      </c>
      <c r="E7" s="1" t="s">
        <v>112</v>
      </c>
      <c r="F7" s="1" t="s">
        <v>111</v>
      </c>
      <c r="G7" s="1" t="s">
        <v>99</v>
      </c>
      <c r="H7" s="1" t="s">
        <v>100</v>
      </c>
      <c r="I7" s="6" t="s">
        <v>101</v>
      </c>
      <c r="J7" s="6" t="s">
        <v>106</v>
      </c>
      <c r="K7" s="6" t="s">
        <v>107</v>
      </c>
      <c r="L7" s="6"/>
      <c r="Q7" s="1"/>
    </row>
    <row r="8" spans="1:17" x14ac:dyDescent="0.3">
      <c r="A8" t="s">
        <v>4</v>
      </c>
      <c r="B8" t="s">
        <v>25</v>
      </c>
      <c r="C8">
        <v>29</v>
      </c>
      <c r="D8">
        <v>13.978999999999999</v>
      </c>
      <c r="E8">
        <v>13.991</v>
      </c>
      <c r="F8">
        <f>D8+0.0865</f>
        <v>14.065499999999998</v>
      </c>
      <c r="G8">
        <v>0.81200000000000006</v>
      </c>
      <c r="H8">
        <v>16.544</v>
      </c>
      <c r="I8">
        <f>H8-F8</f>
        <v>2.4785000000000021</v>
      </c>
      <c r="J8">
        <v>15.503</v>
      </c>
      <c r="K8">
        <f>J8-F8</f>
        <v>1.4375000000000018</v>
      </c>
      <c r="L8">
        <f>K8-G8</f>
        <v>0.62550000000000172</v>
      </c>
    </row>
    <row r="9" spans="1:17" x14ac:dyDescent="0.3">
      <c r="A9" t="s">
        <v>5</v>
      </c>
      <c r="B9" t="s">
        <v>26</v>
      </c>
      <c r="C9">
        <v>30</v>
      </c>
      <c r="D9">
        <v>13.944000000000001</v>
      </c>
      <c r="E9">
        <v>13.956</v>
      </c>
      <c r="F9">
        <f>D9+0.0865</f>
        <v>14.0305</v>
      </c>
      <c r="G9">
        <v>1.1279999999999999</v>
      </c>
      <c r="H9">
        <v>16.597000000000001</v>
      </c>
      <c r="I9">
        <f>H9-F9</f>
        <v>2.5665000000000013</v>
      </c>
      <c r="J9">
        <v>16.452999999999999</v>
      </c>
      <c r="K9">
        <f>J9-F9</f>
        <v>2.4224999999999994</v>
      </c>
      <c r="L9">
        <f t="shared" ref="L9:L11" si="0">K9-G9</f>
        <v>1.2944999999999995</v>
      </c>
    </row>
    <row r="10" spans="1:17" x14ac:dyDescent="0.3">
      <c r="A10" t="s">
        <v>14</v>
      </c>
      <c r="B10" t="s">
        <v>35</v>
      </c>
      <c r="C10">
        <v>47</v>
      </c>
      <c r="D10">
        <v>13.976000000000001</v>
      </c>
      <c r="E10">
        <v>13.987</v>
      </c>
      <c r="F10">
        <f>D10+0.0865</f>
        <v>14.0625</v>
      </c>
      <c r="G10">
        <v>0.69199999999999995</v>
      </c>
      <c r="H10">
        <v>16</v>
      </c>
      <c r="I10">
        <f>H10-F10</f>
        <v>1.9375</v>
      </c>
      <c r="J10">
        <v>15.672000000000001</v>
      </c>
      <c r="K10">
        <f>J10-F10</f>
        <v>1.6095000000000006</v>
      </c>
      <c r="L10">
        <f t="shared" si="0"/>
        <v>0.91750000000000065</v>
      </c>
    </row>
    <row r="11" spans="1:17" x14ac:dyDescent="0.3">
      <c r="A11" t="s">
        <v>15</v>
      </c>
      <c r="B11" t="s">
        <v>36</v>
      </c>
      <c r="C11">
        <v>49</v>
      </c>
      <c r="D11">
        <v>13.959</v>
      </c>
      <c r="E11">
        <v>13.971</v>
      </c>
      <c r="F11">
        <f>D11+0.0865</f>
        <v>14.045499999999999</v>
      </c>
      <c r="G11">
        <v>1.363</v>
      </c>
      <c r="H11">
        <v>16.951000000000001</v>
      </c>
      <c r="I11">
        <f>H11-F11</f>
        <v>2.9055000000000017</v>
      </c>
      <c r="J11">
        <v>16.547000000000001</v>
      </c>
      <c r="K11">
        <f>J11-F11</f>
        <v>2.5015000000000018</v>
      </c>
      <c r="L11">
        <f t="shared" si="0"/>
        <v>1.1385000000000018</v>
      </c>
    </row>
    <row r="17" spans="1:23" ht="18" x14ac:dyDescent="0.35">
      <c r="A17" s="3" t="s">
        <v>86</v>
      </c>
      <c r="M17" s="13" t="s">
        <v>115</v>
      </c>
      <c r="O17" s="17"/>
    </row>
    <row r="18" spans="1:23" x14ac:dyDescent="0.3">
      <c r="A18" s="9">
        <v>45604</v>
      </c>
      <c r="M18" s="16">
        <v>45608</v>
      </c>
      <c r="O18" s="18"/>
    </row>
    <row r="19" spans="1:23" x14ac:dyDescent="0.3">
      <c r="A19" s="10" t="s">
        <v>109</v>
      </c>
      <c r="M19" s="14" t="s">
        <v>117</v>
      </c>
      <c r="O19" s="19"/>
    </row>
    <row r="20" spans="1:23" x14ac:dyDescent="0.3">
      <c r="A20" s="8" t="s">
        <v>114</v>
      </c>
      <c r="M20" s="14"/>
      <c r="N20" s="22"/>
      <c r="O20" s="22"/>
    </row>
    <row r="21" spans="1:23" x14ac:dyDescent="0.3">
      <c r="M21" s="14"/>
      <c r="N21" s="19"/>
      <c r="O21" s="19"/>
    </row>
    <row r="22" spans="1:23" x14ac:dyDescent="0.3">
      <c r="A22" s="6" t="s">
        <v>2</v>
      </c>
      <c r="B22" s="6" t="s">
        <v>89</v>
      </c>
      <c r="C22" s="6" t="s">
        <v>90</v>
      </c>
      <c r="D22" s="6" t="s">
        <v>91</v>
      </c>
      <c r="E22" s="6" t="s">
        <v>92</v>
      </c>
      <c r="F22" s="6" t="s">
        <v>228</v>
      </c>
      <c r="G22" s="6" t="s">
        <v>102</v>
      </c>
      <c r="H22" s="6" t="s">
        <v>93</v>
      </c>
      <c r="I22" s="6" t="s">
        <v>191</v>
      </c>
      <c r="J22" s="6" t="s">
        <v>94</v>
      </c>
      <c r="K22" s="6" t="s">
        <v>190</v>
      </c>
      <c r="L22" s="6" t="s">
        <v>103</v>
      </c>
      <c r="M22" s="15" t="s">
        <v>119</v>
      </c>
      <c r="N22" s="20" t="s">
        <v>118</v>
      </c>
      <c r="O22" s="20" t="s">
        <v>116</v>
      </c>
      <c r="P22" s="6" t="s">
        <v>113</v>
      </c>
      <c r="Q22" s="6" t="s">
        <v>121</v>
      </c>
      <c r="R22" s="6" t="s">
        <v>120</v>
      </c>
      <c r="S22" s="6" t="s">
        <v>122</v>
      </c>
      <c r="T22" s="1" t="s">
        <v>123</v>
      </c>
      <c r="U22" s="6" t="s">
        <v>192</v>
      </c>
      <c r="V22" s="6" t="s">
        <v>193</v>
      </c>
      <c r="W22" s="45" t="s">
        <v>296</v>
      </c>
    </row>
    <row r="23" spans="1:23" x14ac:dyDescent="0.3">
      <c r="A23" s="8" t="s">
        <v>4</v>
      </c>
      <c r="B23" s="8" t="s">
        <v>25</v>
      </c>
      <c r="C23" s="8">
        <f>D8</f>
        <v>13.978999999999999</v>
      </c>
      <c r="D23" s="8">
        <f>J8</f>
        <v>15.503</v>
      </c>
      <c r="E23" s="8">
        <v>14.157999999999999</v>
      </c>
      <c r="F23" s="8">
        <f>E23/D23</f>
        <v>0.91324259820679865</v>
      </c>
      <c r="G23" s="8">
        <f>E23-C23</f>
        <v>0.17900000000000027</v>
      </c>
      <c r="H23" s="8">
        <f>G8-G23</f>
        <v>0.63299999999999979</v>
      </c>
      <c r="I23" s="8">
        <f>D23-E23</f>
        <v>1.3450000000000006</v>
      </c>
      <c r="J23" s="8">
        <f>H23/G23</f>
        <v>3.5363128491620048</v>
      </c>
      <c r="K23" s="11">
        <f>I23/(D23-C23)</f>
        <v>0.88254593175853002</v>
      </c>
      <c r="L23" s="8">
        <f>I23/G23</f>
        <v>7.5139664804469195</v>
      </c>
      <c r="M23" s="24">
        <v>38.9</v>
      </c>
      <c r="N23" s="19">
        <v>265.10000000000002</v>
      </c>
      <c r="O23">
        <f>N23-M23</f>
        <v>226.20000000000002</v>
      </c>
      <c r="P23">
        <f>O23/(1+J23)</f>
        <v>49.864285714285785</v>
      </c>
      <c r="Q23">
        <f>P23*1.5</f>
        <v>74.796428571428677</v>
      </c>
      <c r="R23">
        <f>P23+Q23</f>
        <v>124.66071428571446</v>
      </c>
      <c r="S23">
        <f>R23+M23</f>
        <v>163.56071428571445</v>
      </c>
      <c r="T23">
        <f>144.2+20.3</f>
        <v>164.5</v>
      </c>
      <c r="U23">
        <f>T23-M23</f>
        <v>125.6</v>
      </c>
      <c r="V23">
        <f>(U23-P23)/P23</f>
        <v>1.5188368428591856</v>
      </c>
    </row>
    <row r="24" spans="1:23" x14ac:dyDescent="0.3">
      <c r="A24" s="8" t="s">
        <v>5</v>
      </c>
      <c r="B24" s="8" t="s">
        <v>26</v>
      </c>
      <c r="C24" s="8">
        <f t="shared" ref="C24:C26" si="1">D9</f>
        <v>13.944000000000001</v>
      </c>
      <c r="D24" s="8">
        <f>J9</f>
        <v>16.452999999999999</v>
      </c>
      <c r="E24" s="8">
        <v>14.115</v>
      </c>
      <c r="F24" s="8">
        <f t="shared" ref="F24:F26" si="2">E24/D24</f>
        <v>0.85789825563726985</v>
      </c>
      <c r="G24" s="8">
        <f>E24-C24</f>
        <v>0.17099999999999937</v>
      </c>
      <c r="H24" s="8">
        <f>G9-G24</f>
        <v>0.95700000000000052</v>
      </c>
      <c r="I24" s="8">
        <f>D24-E24</f>
        <v>2.3379999999999992</v>
      </c>
      <c r="J24" s="8">
        <f t="shared" ref="J24:J26" si="3">H24/G24</f>
        <v>5.5964912280701986</v>
      </c>
      <c r="K24" s="11">
        <f>I24/(D24-C24)</f>
        <v>0.93184535671582325</v>
      </c>
      <c r="L24" s="8">
        <f t="shared" ref="L24:L26" si="4">I24/G24</f>
        <v>13.672514619883087</v>
      </c>
      <c r="M24" s="24">
        <v>38.4</v>
      </c>
      <c r="N24" s="19">
        <v>403.1</v>
      </c>
      <c r="O24">
        <f t="shared" ref="O24:O26" si="5">N24-M24</f>
        <v>364.70000000000005</v>
      </c>
      <c r="P24">
        <f t="shared" ref="P24:P26" si="6">O24/(1+J24)</f>
        <v>55.286968085106196</v>
      </c>
      <c r="Q24">
        <f t="shared" ref="Q24:Q26" si="7">P24*1.5</f>
        <v>82.930452127659294</v>
      </c>
      <c r="R24">
        <f t="shared" ref="R24:R26" si="8">P24+Q24</f>
        <v>138.21742021276549</v>
      </c>
      <c r="S24">
        <f t="shared" ref="S24:S26" si="9">R24+M24</f>
        <v>176.6174202127655</v>
      </c>
      <c r="T24">
        <v>177.2</v>
      </c>
      <c r="U24">
        <f t="shared" ref="U24:U26" si="10">T24-M24</f>
        <v>138.79999999999998</v>
      </c>
      <c r="V24">
        <f t="shared" ref="V24:V26" si="11">(U24-P24)/P24</f>
        <v>1.5105373799181336</v>
      </c>
    </row>
    <row r="25" spans="1:23" x14ac:dyDescent="0.3">
      <c r="A25" s="8" t="s">
        <v>14</v>
      </c>
      <c r="B25" s="8" t="s">
        <v>35</v>
      </c>
      <c r="C25" s="8">
        <f t="shared" si="1"/>
        <v>13.976000000000001</v>
      </c>
      <c r="D25" s="8">
        <f>J10</f>
        <v>15.672000000000001</v>
      </c>
      <c r="E25" s="8">
        <v>14.147</v>
      </c>
      <c r="F25" s="8">
        <f t="shared" si="2"/>
        <v>0.90269270035732518</v>
      </c>
      <c r="G25" s="8">
        <f>E25-C25</f>
        <v>0.17099999999999937</v>
      </c>
      <c r="H25" s="8">
        <f>G10-G25</f>
        <v>0.52100000000000057</v>
      </c>
      <c r="I25" s="8">
        <f>D25-E25</f>
        <v>1.5250000000000004</v>
      </c>
      <c r="J25" s="8">
        <f t="shared" si="3"/>
        <v>3.0467836257310088</v>
      </c>
      <c r="K25" s="11">
        <f>I25/(D25-C25)</f>
        <v>0.89917452830188715</v>
      </c>
      <c r="L25" s="8">
        <f t="shared" si="4"/>
        <v>8.9181286549707952</v>
      </c>
      <c r="M25" s="24">
        <v>39</v>
      </c>
      <c r="N25" s="19">
        <v>195.7</v>
      </c>
      <c r="O25">
        <f t="shared" si="5"/>
        <v>156.69999999999999</v>
      </c>
      <c r="P25">
        <f t="shared" si="6"/>
        <v>38.722109826589453</v>
      </c>
      <c r="Q25">
        <f t="shared" si="7"/>
        <v>58.083164739884182</v>
      </c>
      <c r="R25">
        <f t="shared" si="8"/>
        <v>96.805274566473628</v>
      </c>
      <c r="S25">
        <f t="shared" si="9"/>
        <v>135.80527456647363</v>
      </c>
      <c r="T25">
        <f>125.3+11.1</f>
        <v>136.4</v>
      </c>
      <c r="U25">
        <f t="shared" si="10"/>
        <v>97.4</v>
      </c>
      <c r="V25">
        <f t="shared" si="11"/>
        <v>1.5153588075698807</v>
      </c>
    </row>
    <row r="26" spans="1:23" x14ac:dyDescent="0.3">
      <c r="A26" s="8" t="s">
        <v>15</v>
      </c>
      <c r="B26" s="8" t="s">
        <v>36</v>
      </c>
      <c r="C26" s="8">
        <f t="shared" si="1"/>
        <v>13.959</v>
      </c>
      <c r="D26" s="8">
        <f>J11</f>
        <v>16.547000000000001</v>
      </c>
      <c r="E26" s="8">
        <v>14.16</v>
      </c>
      <c r="F26" s="8">
        <f t="shared" si="2"/>
        <v>0.85574424366954738</v>
      </c>
      <c r="G26" s="8">
        <f>E26-C26</f>
        <v>0.20100000000000051</v>
      </c>
      <c r="H26" s="8">
        <f>G11-G26</f>
        <v>1.1619999999999995</v>
      </c>
      <c r="I26" s="8">
        <f>D26-E26</f>
        <v>2.3870000000000005</v>
      </c>
      <c r="J26" s="8">
        <f t="shared" si="3"/>
        <v>5.7810945273631669</v>
      </c>
      <c r="K26" s="11">
        <f>I26/(D26-C26)</f>
        <v>0.92233384853168454</v>
      </c>
      <c r="L26" s="8">
        <f t="shared" si="4"/>
        <v>11.875621890547237</v>
      </c>
      <c r="M26" s="24">
        <v>38.4</v>
      </c>
      <c r="N26" s="19">
        <v>381.5</v>
      </c>
      <c r="O26">
        <f t="shared" si="5"/>
        <v>343.1</v>
      </c>
      <c r="P26">
        <f t="shared" si="6"/>
        <v>50.59655172413806</v>
      </c>
      <c r="Q26">
        <f t="shared" si="7"/>
        <v>75.894827586207086</v>
      </c>
      <c r="R26">
        <f t="shared" si="8"/>
        <v>126.49137931034514</v>
      </c>
      <c r="S26">
        <f t="shared" si="9"/>
        <v>164.89137931034514</v>
      </c>
      <c r="T26">
        <v>165.3</v>
      </c>
      <c r="U26">
        <f t="shared" si="10"/>
        <v>126.9</v>
      </c>
      <c r="V26">
        <f t="shared" si="11"/>
        <v>1.5080760580658288</v>
      </c>
    </row>
    <row r="28" spans="1:23" x14ac:dyDescent="0.3">
      <c r="F28" s="8"/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E6B94-55F9-4640-89DE-DA88B7A2503E}">
  <dimension ref="A1:K67"/>
  <sheetViews>
    <sheetView zoomScaleNormal="100" workbookViewId="0">
      <selection activeCell="F7" sqref="F7"/>
    </sheetView>
  </sheetViews>
  <sheetFormatPr baseColWidth="10" defaultRowHeight="14.4" x14ac:dyDescent="0.3"/>
  <cols>
    <col min="3" max="3" width="12.33203125" bestFit="1" customWidth="1"/>
    <col min="4" max="4" width="12.5546875" bestFit="1" customWidth="1"/>
    <col min="5" max="5" width="32" bestFit="1" customWidth="1"/>
    <col min="6" max="6" width="16.33203125" bestFit="1" customWidth="1"/>
    <col min="7" max="7" width="21.5546875" bestFit="1" customWidth="1"/>
    <col min="8" max="8" width="39.21875" bestFit="1" customWidth="1"/>
    <col min="9" max="9" width="13.33203125" bestFit="1" customWidth="1"/>
    <col min="10" max="10" width="36.88671875" bestFit="1" customWidth="1"/>
    <col min="11" max="11" width="35.21875" bestFit="1" customWidth="1"/>
  </cols>
  <sheetData>
    <row r="1" spans="1:11" ht="18" x14ac:dyDescent="0.35">
      <c r="A1" s="3" t="s">
        <v>124</v>
      </c>
    </row>
    <row r="2" spans="1:11" x14ac:dyDescent="0.3">
      <c r="A2" s="5">
        <v>45614</v>
      </c>
    </row>
    <row r="3" spans="1:11" x14ac:dyDescent="0.3">
      <c r="A3" t="s">
        <v>125</v>
      </c>
    </row>
    <row r="4" spans="1:11" x14ac:dyDescent="0.3">
      <c r="A4" t="s">
        <v>126</v>
      </c>
    </row>
    <row r="5" spans="1:11" x14ac:dyDescent="0.3">
      <c r="A5" t="s">
        <v>260</v>
      </c>
      <c r="G5" s="2"/>
    </row>
    <row r="6" spans="1:11" x14ac:dyDescent="0.3">
      <c r="A6" s="8" t="s">
        <v>262</v>
      </c>
      <c r="G6" s="2"/>
    </row>
    <row r="7" spans="1:11" x14ac:dyDescent="0.3">
      <c r="A7" s="8" t="s">
        <v>259</v>
      </c>
    </row>
    <row r="8" spans="1:11" x14ac:dyDescent="0.3">
      <c r="A8" s="8" t="s">
        <v>424</v>
      </c>
    </row>
    <row r="11" spans="1:11" x14ac:dyDescent="0.3">
      <c r="A11" s="1" t="s">
        <v>2</v>
      </c>
      <c r="B11" s="1" t="s">
        <v>89</v>
      </c>
      <c r="C11" s="1" t="s">
        <v>127</v>
      </c>
      <c r="D11" s="1" t="s">
        <v>184</v>
      </c>
      <c r="E11" s="1" t="s">
        <v>187</v>
      </c>
      <c r="F11" s="1" t="s">
        <v>188</v>
      </c>
      <c r="G11" s="1" t="s">
        <v>189</v>
      </c>
      <c r="H11" s="1" t="s">
        <v>292</v>
      </c>
      <c r="I11" s="1" t="s">
        <v>293</v>
      </c>
      <c r="J11" s="1" t="s">
        <v>294</v>
      </c>
      <c r="K11" s="1" t="s">
        <v>295</v>
      </c>
    </row>
    <row r="12" spans="1:11" x14ac:dyDescent="0.3">
      <c r="A12" t="s">
        <v>4</v>
      </c>
      <c r="B12" t="s">
        <v>25</v>
      </c>
      <c r="C12" t="s">
        <v>128</v>
      </c>
      <c r="D12" t="s">
        <v>185</v>
      </c>
      <c r="E12" s="8">
        <v>145.34399999999999</v>
      </c>
      <c r="F12" s="8">
        <v>14.715999999999999</v>
      </c>
      <c r="G12" s="8">
        <f>E12+F12</f>
        <v>160.06</v>
      </c>
      <c r="H12">
        <v>159.964</v>
      </c>
      <c r="I12">
        <f>G12-H12</f>
        <v>9.6000000000003638E-2</v>
      </c>
      <c r="J12" s="25">
        <v>1.5188368428591856</v>
      </c>
      <c r="K12" s="25">
        <f>(J12/G12)*H12</f>
        <v>1.5179258823636559</v>
      </c>
    </row>
    <row r="13" spans="1:11" x14ac:dyDescent="0.3">
      <c r="A13" t="s">
        <v>5</v>
      </c>
      <c r="B13" t="s">
        <v>26</v>
      </c>
      <c r="C13" t="s">
        <v>129</v>
      </c>
      <c r="D13" t="s">
        <v>185</v>
      </c>
      <c r="E13">
        <v>148.48500000000001</v>
      </c>
      <c r="F13">
        <v>12.209</v>
      </c>
      <c r="G13" s="8">
        <f>E13+F13</f>
        <v>160.69400000000002</v>
      </c>
      <c r="H13">
        <v>160.52600000000001</v>
      </c>
      <c r="I13">
        <f t="shared" ref="I13:I39" si="0">G13-H13</f>
        <v>0.16800000000000637</v>
      </c>
      <c r="J13" s="25">
        <v>1.5105373799181336</v>
      </c>
      <c r="K13" s="25">
        <f t="shared" ref="K13:K38" si="1">(J13/G13)*H13</f>
        <v>1.5089581655117073</v>
      </c>
    </row>
    <row r="14" spans="1:11" x14ac:dyDescent="0.3">
      <c r="A14" t="s">
        <v>6</v>
      </c>
      <c r="B14" t="s">
        <v>27</v>
      </c>
      <c r="C14" t="s">
        <v>130</v>
      </c>
      <c r="D14" t="s">
        <v>185</v>
      </c>
      <c r="E14">
        <v>146.56800000000001</v>
      </c>
      <c r="F14">
        <v>16.042000000000002</v>
      </c>
      <c r="G14">
        <f t="shared" ref="G14:G67" si="2">E14+F14</f>
        <v>162.61000000000001</v>
      </c>
      <c r="H14">
        <v>162.39400000000001</v>
      </c>
      <c r="I14">
        <f t="shared" si="0"/>
        <v>0.21600000000000819</v>
      </c>
      <c r="J14" s="25">
        <v>1.5318841697518164</v>
      </c>
      <c r="K14" s="25">
        <f t="shared" si="1"/>
        <v>1.5298493196155001</v>
      </c>
    </row>
    <row r="15" spans="1:11" x14ac:dyDescent="0.3">
      <c r="A15" t="s">
        <v>7</v>
      </c>
      <c r="B15" t="s">
        <v>28</v>
      </c>
      <c r="C15" t="s">
        <v>131</v>
      </c>
      <c r="D15" t="s">
        <v>185</v>
      </c>
      <c r="E15">
        <v>145.041</v>
      </c>
      <c r="F15">
        <v>15.372</v>
      </c>
      <c r="G15">
        <f t="shared" si="2"/>
        <v>160.41300000000001</v>
      </c>
      <c r="H15">
        <v>160.22200000000001</v>
      </c>
      <c r="I15">
        <f t="shared" si="0"/>
        <v>0.1910000000000025</v>
      </c>
      <c r="J15" s="25">
        <v>1.5675593029170103</v>
      </c>
      <c r="K15" s="25">
        <f t="shared" si="1"/>
        <v>1.5656928467890334</v>
      </c>
    </row>
    <row r="16" spans="1:11" x14ac:dyDescent="0.3">
      <c r="A16" t="s">
        <v>8</v>
      </c>
      <c r="B16" t="s">
        <v>29</v>
      </c>
      <c r="C16" t="s">
        <v>132</v>
      </c>
      <c r="D16" t="s">
        <v>185</v>
      </c>
      <c r="E16">
        <v>146.02099999999999</v>
      </c>
      <c r="F16">
        <v>15.25</v>
      </c>
      <c r="G16">
        <f t="shared" si="2"/>
        <v>161.27099999999999</v>
      </c>
      <c r="H16">
        <v>161.14500000000001</v>
      </c>
      <c r="I16">
        <f t="shared" si="0"/>
        <v>0.12599999999997635</v>
      </c>
      <c r="J16" s="25">
        <v>1.5120188375392583</v>
      </c>
      <c r="K16" s="25">
        <f t="shared" si="1"/>
        <v>1.5108375068999622</v>
      </c>
    </row>
    <row r="17" spans="1:11" x14ac:dyDescent="0.3">
      <c r="A17" t="s">
        <v>9</v>
      </c>
      <c r="B17" t="s">
        <v>40</v>
      </c>
      <c r="C17" t="s">
        <v>133</v>
      </c>
      <c r="D17" t="s">
        <v>185</v>
      </c>
      <c r="E17">
        <v>144.80699999999999</v>
      </c>
      <c r="F17">
        <v>15.063000000000001</v>
      </c>
      <c r="G17">
        <f t="shared" si="2"/>
        <v>159.86999999999998</v>
      </c>
      <c r="H17">
        <v>159.69</v>
      </c>
      <c r="I17">
        <f t="shared" si="0"/>
        <v>0.1799999999999784</v>
      </c>
      <c r="J17" s="25">
        <v>1.5096120592358806</v>
      </c>
      <c r="K17" s="25">
        <f t="shared" si="1"/>
        <v>1.5079123646674035</v>
      </c>
    </row>
    <row r="18" spans="1:11" x14ac:dyDescent="0.3">
      <c r="A18" t="s">
        <v>10</v>
      </c>
      <c r="B18" t="s">
        <v>31</v>
      </c>
      <c r="C18" t="s">
        <v>134</v>
      </c>
      <c r="D18" t="s">
        <v>185</v>
      </c>
      <c r="E18">
        <v>144.73500000000001</v>
      </c>
      <c r="F18">
        <v>15.548</v>
      </c>
      <c r="G18">
        <f t="shared" si="2"/>
        <v>160.28300000000002</v>
      </c>
      <c r="H18">
        <v>160.017</v>
      </c>
      <c r="I18">
        <f t="shared" si="0"/>
        <v>0.26600000000001955</v>
      </c>
      <c r="J18" s="25">
        <v>1.5013296608737876</v>
      </c>
      <c r="K18" s="25">
        <f t="shared" si="1"/>
        <v>1.4988381072480601</v>
      </c>
    </row>
    <row r="19" spans="1:11" x14ac:dyDescent="0.3">
      <c r="A19" t="s">
        <v>11</v>
      </c>
      <c r="B19" t="s">
        <v>32</v>
      </c>
      <c r="C19" t="s">
        <v>135</v>
      </c>
      <c r="D19" t="s">
        <v>185</v>
      </c>
      <c r="E19">
        <v>144.67400000000001</v>
      </c>
      <c r="F19">
        <v>15.054</v>
      </c>
      <c r="G19">
        <f t="shared" si="2"/>
        <v>159.72800000000001</v>
      </c>
      <c r="H19">
        <v>159.578</v>
      </c>
      <c r="I19">
        <f t="shared" si="0"/>
        <v>0.15000000000000568</v>
      </c>
      <c r="J19" s="25">
        <v>1.5697506231389231</v>
      </c>
      <c r="K19" s="25">
        <f t="shared" si="1"/>
        <v>1.568276475879389</v>
      </c>
    </row>
    <row r="20" spans="1:11" x14ac:dyDescent="0.3">
      <c r="A20" t="s">
        <v>12</v>
      </c>
      <c r="B20" t="s">
        <v>33</v>
      </c>
      <c r="C20" t="s">
        <v>136</v>
      </c>
      <c r="D20" t="s">
        <v>185</v>
      </c>
      <c r="E20">
        <v>147.58799999999999</v>
      </c>
      <c r="F20">
        <v>14.821</v>
      </c>
      <c r="G20">
        <f t="shared" si="2"/>
        <v>162.40899999999999</v>
      </c>
      <c r="H20">
        <v>162.21199999999999</v>
      </c>
      <c r="I20">
        <f t="shared" si="0"/>
        <v>0.19700000000000273</v>
      </c>
      <c r="J20" s="25">
        <v>1.5319529114988435</v>
      </c>
      <c r="K20" s="25">
        <f t="shared" si="1"/>
        <v>1.5300946725861893</v>
      </c>
    </row>
    <row r="21" spans="1:11" x14ac:dyDescent="0.3">
      <c r="A21" t="s">
        <v>13</v>
      </c>
      <c r="B21" t="s">
        <v>34</v>
      </c>
      <c r="C21" t="s">
        <v>137</v>
      </c>
      <c r="D21" t="s">
        <v>185</v>
      </c>
      <c r="E21">
        <v>144.79</v>
      </c>
      <c r="F21">
        <v>14.621</v>
      </c>
      <c r="G21">
        <f t="shared" si="2"/>
        <v>159.411</v>
      </c>
      <c r="H21">
        <v>159.24700000000001</v>
      </c>
      <c r="I21">
        <f t="shared" si="0"/>
        <v>0.16399999999998727</v>
      </c>
      <c r="J21" s="25">
        <v>1.4987583827749777</v>
      </c>
      <c r="K21" s="25">
        <f t="shared" si="1"/>
        <v>1.4972164793004679</v>
      </c>
    </row>
    <row r="22" spans="1:11" x14ac:dyDescent="0.3">
      <c r="A22" t="s">
        <v>14</v>
      </c>
      <c r="B22" t="s">
        <v>35</v>
      </c>
      <c r="C22" t="s">
        <v>138</v>
      </c>
      <c r="D22" t="s">
        <v>185</v>
      </c>
      <c r="E22" s="8">
        <v>145.98400000000001</v>
      </c>
      <c r="F22" s="8">
        <v>12.425000000000001</v>
      </c>
      <c r="G22" s="8">
        <f t="shared" si="2"/>
        <v>158.40900000000002</v>
      </c>
      <c r="H22">
        <v>158.23400000000001</v>
      </c>
      <c r="I22">
        <f t="shared" si="0"/>
        <v>0.17500000000001137</v>
      </c>
      <c r="J22" s="25">
        <v>1.5153588075698807</v>
      </c>
      <c r="K22" s="25">
        <f t="shared" si="1"/>
        <v>1.5136847373382352</v>
      </c>
    </row>
    <row r="23" spans="1:11" x14ac:dyDescent="0.3">
      <c r="A23" t="s">
        <v>15</v>
      </c>
      <c r="B23" t="s">
        <v>36</v>
      </c>
      <c r="C23" t="s">
        <v>139</v>
      </c>
      <c r="D23" t="s">
        <v>185</v>
      </c>
      <c r="E23">
        <v>145.203</v>
      </c>
      <c r="F23">
        <v>12.89</v>
      </c>
      <c r="G23">
        <f t="shared" si="2"/>
        <v>158.09300000000002</v>
      </c>
      <c r="H23">
        <v>157.88499999999999</v>
      </c>
      <c r="I23">
        <f t="shared" si="0"/>
        <v>0.20800000000002683</v>
      </c>
      <c r="J23" s="25">
        <v>1.5080760580658288</v>
      </c>
      <c r="K23" s="25">
        <f t="shared" si="1"/>
        <v>1.5060919106331294</v>
      </c>
    </row>
    <row r="24" spans="1:11" x14ac:dyDescent="0.3">
      <c r="A24" t="s">
        <v>16</v>
      </c>
      <c r="B24" t="s">
        <v>37</v>
      </c>
      <c r="C24" t="s">
        <v>140</v>
      </c>
      <c r="D24" t="s">
        <v>185</v>
      </c>
      <c r="E24">
        <v>145.24</v>
      </c>
      <c r="F24">
        <v>14.891999999999999</v>
      </c>
      <c r="G24">
        <f t="shared" si="2"/>
        <v>160.13200000000001</v>
      </c>
      <c r="H24">
        <v>159.809</v>
      </c>
      <c r="I24">
        <f t="shared" si="0"/>
        <v>0.3230000000000075</v>
      </c>
      <c r="J24" s="25">
        <v>1.525542570951586</v>
      </c>
      <c r="K24" s="25">
        <f t="shared" si="1"/>
        <v>1.5224654205355705</v>
      </c>
    </row>
    <row r="25" spans="1:11" x14ac:dyDescent="0.3">
      <c r="A25" t="s">
        <v>17</v>
      </c>
      <c r="B25" t="s">
        <v>38</v>
      </c>
      <c r="C25" t="s">
        <v>141</v>
      </c>
      <c r="D25" t="s">
        <v>185</v>
      </c>
      <c r="E25">
        <v>146.31399999999999</v>
      </c>
      <c r="F25">
        <v>13.888999999999999</v>
      </c>
      <c r="G25">
        <f t="shared" si="2"/>
        <v>160.203</v>
      </c>
      <c r="H25">
        <v>160.22999999999999</v>
      </c>
      <c r="I25">
        <f t="shared" si="0"/>
        <v>-2.6999999999986812E-2</v>
      </c>
      <c r="J25" s="25">
        <v>1.4955449731320658</v>
      </c>
      <c r="K25" s="25">
        <f t="shared" si="1"/>
        <v>1.4957970265535032</v>
      </c>
    </row>
    <row r="26" spans="1:11" x14ac:dyDescent="0.3">
      <c r="A26" t="s">
        <v>23</v>
      </c>
      <c r="B26" t="s">
        <v>39</v>
      </c>
      <c r="C26" t="s">
        <v>142</v>
      </c>
      <c r="D26" t="s">
        <v>185</v>
      </c>
      <c r="E26">
        <v>145.00399999999999</v>
      </c>
      <c r="F26">
        <v>13.67</v>
      </c>
      <c r="G26">
        <f t="shared" si="2"/>
        <v>158.67399999999998</v>
      </c>
      <c r="H26">
        <v>158.53899999999999</v>
      </c>
      <c r="I26">
        <f t="shared" si="0"/>
        <v>0.13499999999999091</v>
      </c>
      <c r="J26" s="25">
        <v>1.5254159967941041</v>
      </c>
      <c r="K26" s="25">
        <f t="shared" si="1"/>
        <v>1.5241181713181773</v>
      </c>
    </row>
    <row r="27" spans="1:11" x14ac:dyDescent="0.3">
      <c r="A27" t="s">
        <v>18</v>
      </c>
      <c r="B27" t="s">
        <v>30</v>
      </c>
      <c r="C27" t="s">
        <v>143</v>
      </c>
      <c r="D27" t="s">
        <v>185</v>
      </c>
      <c r="E27">
        <v>146.12700000000001</v>
      </c>
      <c r="F27">
        <v>15.952</v>
      </c>
      <c r="G27">
        <f t="shared" si="2"/>
        <v>162.07900000000001</v>
      </c>
      <c r="H27">
        <v>161.91300000000001</v>
      </c>
      <c r="I27">
        <f t="shared" si="0"/>
        <v>0.16599999999999682</v>
      </c>
      <c r="J27" s="25">
        <v>1.5022809622918927</v>
      </c>
      <c r="K27" s="25">
        <f t="shared" si="1"/>
        <v>1.5007423382891505</v>
      </c>
    </row>
    <row r="28" spans="1:11" x14ac:dyDescent="0.3">
      <c r="A28" t="s">
        <v>19</v>
      </c>
      <c r="B28" t="s">
        <v>41</v>
      </c>
      <c r="C28" t="s">
        <v>144</v>
      </c>
      <c r="D28" t="s">
        <v>185</v>
      </c>
      <c r="E28">
        <v>147.28700000000001</v>
      </c>
      <c r="F28">
        <v>14.223000000000001</v>
      </c>
      <c r="G28">
        <f t="shared" si="2"/>
        <v>161.51000000000002</v>
      </c>
      <c r="H28">
        <v>161.375</v>
      </c>
      <c r="I28">
        <f t="shared" si="0"/>
        <v>0.13500000000001933</v>
      </c>
      <c r="J28" s="25">
        <v>1.5238775041568797</v>
      </c>
      <c r="K28" s="25">
        <f t="shared" si="1"/>
        <v>1.5226037535342483</v>
      </c>
    </row>
    <row r="29" spans="1:11" x14ac:dyDescent="0.3">
      <c r="A29" t="s">
        <v>20</v>
      </c>
      <c r="B29" t="s">
        <v>42</v>
      </c>
      <c r="C29" t="s">
        <v>145</v>
      </c>
      <c r="D29" t="s">
        <v>185</v>
      </c>
      <c r="E29">
        <v>146.86000000000001</v>
      </c>
      <c r="F29">
        <v>13.397</v>
      </c>
      <c r="G29">
        <f t="shared" si="2"/>
        <v>160.25700000000001</v>
      </c>
      <c r="H29">
        <v>160.10300000000001</v>
      </c>
      <c r="I29">
        <f t="shared" si="0"/>
        <v>0.15399999999999636</v>
      </c>
      <c r="J29" s="25">
        <v>1.5426760260010939</v>
      </c>
      <c r="K29" s="25">
        <f t="shared" si="1"/>
        <v>1.5411935815025437</v>
      </c>
    </row>
    <row r="30" spans="1:11" x14ac:dyDescent="0.3">
      <c r="A30" t="s">
        <v>21</v>
      </c>
      <c r="B30" t="s">
        <v>43</v>
      </c>
      <c r="C30" t="s">
        <v>146</v>
      </c>
      <c r="D30" t="s">
        <v>185</v>
      </c>
      <c r="E30">
        <v>146.386</v>
      </c>
      <c r="F30">
        <v>11.172000000000001</v>
      </c>
      <c r="G30">
        <f t="shared" si="2"/>
        <v>157.55799999999999</v>
      </c>
      <c r="H30">
        <v>157.482</v>
      </c>
      <c r="I30">
        <f t="shared" si="0"/>
        <v>7.5999999999993406E-2</v>
      </c>
      <c r="J30" s="25">
        <v>1.5518357412076411</v>
      </c>
      <c r="K30" s="25">
        <f t="shared" si="1"/>
        <v>1.5510871945370068</v>
      </c>
    </row>
    <row r="31" spans="1:11" x14ac:dyDescent="0.3">
      <c r="A31" t="s">
        <v>22</v>
      </c>
      <c r="B31" t="s">
        <v>44</v>
      </c>
      <c r="C31" t="s">
        <v>147</v>
      </c>
      <c r="D31" t="s">
        <v>185</v>
      </c>
      <c r="E31">
        <v>144.053</v>
      </c>
      <c r="F31">
        <v>12.574</v>
      </c>
      <c r="G31">
        <f t="shared" si="2"/>
        <v>156.62700000000001</v>
      </c>
      <c r="H31">
        <v>156.53100000000001</v>
      </c>
      <c r="I31">
        <f t="shared" si="0"/>
        <v>9.6000000000003638E-2</v>
      </c>
      <c r="J31" s="25">
        <v>1.5658599959493571</v>
      </c>
      <c r="K31" s="25">
        <f t="shared" si="1"/>
        <v>1.5649002472495086</v>
      </c>
    </row>
    <row r="32" spans="1:11" x14ac:dyDescent="0.3">
      <c r="A32" t="s">
        <v>48</v>
      </c>
      <c r="B32" t="s">
        <v>69</v>
      </c>
      <c r="C32" t="s">
        <v>148</v>
      </c>
      <c r="D32" t="s">
        <v>185</v>
      </c>
      <c r="E32">
        <v>143.971</v>
      </c>
      <c r="F32">
        <v>14.884</v>
      </c>
      <c r="G32">
        <f t="shared" si="2"/>
        <v>158.85500000000002</v>
      </c>
      <c r="H32">
        <v>158.68199999999999</v>
      </c>
      <c r="I32">
        <f t="shared" si="0"/>
        <v>0.17300000000003024</v>
      </c>
      <c r="J32" s="25">
        <v>1.509345406851557</v>
      </c>
      <c r="K32" s="25">
        <f t="shared" si="1"/>
        <v>1.5077016640963063</v>
      </c>
    </row>
    <row r="33" spans="1:11" x14ac:dyDescent="0.3">
      <c r="A33" t="s">
        <v>49</v>
      </c>
      <c r="B33" t="s">
        <v>70</v>
      </c>
      <c r="C33" t="s">
        <v>149</v>
      </c>
      <c r="D33" t="s">
        <v>185</v>
      </c>
      <c r="E33">
        <v>145.739</v>
      </c>
      <c r="F33">
        <v>11.61</v>
      </c>
      <c r="G33">
        <f t="shared" si="2"/>
        <v>157.34899999999999</v>
      </c>
      <c r="H33">
        <v>157.14400000000001</v>
      </c>
      <c r="I33">
        <f t="shared" si="0"/>
        <v>0.20499999999998408</v>
      </c>
      <c r="J33" s="25">
        <v>1.5172987241531011</v>
      </c>
      <c r="K33" s="25">
        <f t="shared" si="1"/>
        <v>1.5153219321909572</v>
      </c>
    </row>
    <row r="34" spans="1:11" x14ac:dyDescent="0.3">
      <c r="A34" t="s">
        <v>53</v>
      </c>
      <c r="B34" t="s">
        <v>74</v>
      </c>
      <c r="C34" t="s">
        <v>150</v>
      </c>
      <c r="D34" t="s">
        <v>185</v>
      </c>
      <c r="E34">
        <v>145.33600000000001</v>
      </c>
      <c r="F34">
        <v>10.683</v>
      </c>
      <c r="G34">
        <f t="shared" si="2"/>
        <v>156.01900000000001</v>
      </c>
      <c r="H34">
        <v>155.85599999999999</v>
      </c>
      <c r="I34">
        <f t="shared" si="0"/>
        <v>0.16300000000001091</v>
      </c>
      <c r="J34" s="25">
        <v>1.5484276729559747</v>
      </c>
      <c r="K34" s="25">
        <f t="shared" si="1"/>
        <v>1.5468099615830533</v>
      </c>
    </row>
    <row r="35" spans="1:11" x14ac:dyDescent="0.3">
      <c r="A35" t="s">
        <v>54</v>
      </c>
      <c r="B35" t="s">
        <v>75</v>
      </c>
      <c r="C35" t="s">
        <v>151</v>
      </c>
      <c r="D35" t="s">
        <v>185</v>
      </c>
      <c r="E35">
        <v>150.197</v>
      </c>
      <c r="F35">
        <v>13.606</v>
      </c>
      <c r="G35">
        <f t="shared" si="2"/>
        <v>163.803</v>
      </c>
      <c r="H35">
        <v>163.559</v>
      </c>
      <c r="I35">
        <f t="shared" si="0"/>
        <v>0.24399999999999977</v>
      </c>
      <c r="J35" s="25">
        <v>1.550466749708395</v>
      </c>
      <c r="K35" s="25">
        <f t="shared" si="1"/>
        <v>1.5481571834188348</v>
      </c>
    </row>
    <row r="36" spans="1:11" x14ac:dyDescent="0.3">
      <c r="A36" t="s">
        <v>58</v>
      </c>
      <c r="B36" t="s">
        <v>79</v>
      </c>
      <c r="C36" t="s">
        <v>152</v>
      </c>
      <c r="D36" t="s">
        <v>185</v>
      </c>
      <c r="E36">
        <v>144.965</v>
      </c>
      <c r="F36">
        <v>12.935</v>
      </c>
      <c r="G36">
        <f t="shared" si="2"/>
        <v>157.9</v>
      </c>
      <c r="H36">
        <v>157.64400000000001</v>
      </c>
      <c r="I36">
        <f t="shared" si="0"/>
        <v>0.25600000000000023</v>
      </c>
      <c r="J36" s="25">
        <v>1.5477040971476075</v>
      </c>
      <c r="K36" s="25">
        <f t="shared" si="1"/>
        <v>1.5451948365467854</v>
      </c>
    </row>
    <row r="37" spans="1:11" x14ac:dyDescent="0.3">
      <c r="A37" t="s">
        <v>59</v>
      </c>
      <c r="B37" t="s">
        <v>80</v>
      </c>
      <c r="C37" t="s">
        <v>153</v>
      </c>
      <c r="D37" t="s">
        <v>185</v>
      </c>
      <c r="E37">
        <v>144.32</v>
      </c>
      <c r="F37">
        <v>12.9</v>
      </c>
      <c r="G37">
        <f t="shared" si="2"/>
        <v>157.22</v>
      </c>
      <c r="H37">
        <v>157.08799999999999</v>
      </c>
      <c r="I37">
        <f t="shared" si="0"/>
        <v>0.132000000000005</v>
      </c>
      <c r="J37" s="25">
        <v>1.554762885770677</v>
      </c>
      <c r="K37" s="25">
        <f t="shared" si="1"/>
        <v>1.5534575257597261</v>
      </c>
    </row>
    <row r="38" spans="1:11" x14ac:dyDescent="0.3">
      <c r="A38" t="s">
        <v>63</v>
      </c>
      <c r="B38" t="s">
        <v>84</v>
      </c>
      <c r="C38" t="s">
        <v>154</v>
      </c>
      <c r="D38" t="s">
        <v>185</v>
      </c>
      <c r="E38">
        <v>146.22499999999999</v>
      </c>
      <c r="F38">
        <v>11.542</v>
      </c>
      <c r="G38">
        <f t="shared" si="2"/>
        <v>157.767</v>
      </c>
      <c r="H38">
        <v>157.57499999999999</v>
      </c>
      <c r="I38">
        <f t="shared" si="0"/>
        <v>0.19200000000000728</v>
      </c>
      <c r="J38" s="25">
        <v>1.5103665778961377</v>
      </c>
      <c r="K38" s="25">
        <f t="shared" si="1"/>
        <v>1.5085284851203604</v>
      </c>
    </row>
    <row r="39" spans="1:11" x14ac:dyDescent="0.3">
      <c r="A39" t="s">
        <v>64</v>
      </c>
      <c r="B39" t="s">
        <v>85</v>
      </c>
      <c r="C39" t="s">
        <v>155</v>
      </c>
      <c r="D39" t="s">
        <v>185</v>
      </c>
      <c r="E39">
        <v>146.143</v>
      </c>
      <c r="F39">
        <v>10.815</v>
      </c>
      <c r="G39">
        <f t="shared" si="2"/>
        <v>156.958</v>
      </c>
      <c r="H39">
        <v>156.684</v>
      </c>
      <c r="I39">
        <f t="shared" si="0"/>
        <v>0.27400000000000091</v>
      </c>
      <c r="J39" s="25">
        <v>1.5216307546758283</v>
      </c>
      <c r="K39" s="25">
        <f>(J39/G39)*H39</f>
        <v>1.5189744591905319</v>
      </c>
    </row>
    <row r="40" spans="1:11" x14ac:dyDescent="0.3">
      <c r="A40" t="s">
        <v>45</v>
      </c>
      <c r="B40" t="s">
        <v>66</v>
      </c>
      <c r="C40" t="s">
        <v>156</v>
      </c>
      <c r="D40" t="s">
        <v>186</v>
      </c>
      <c r="E40">
        <v>146.203</v>
      </c>
      <c r="F40">
        <v>11.106</v>
      </c>
      <c r="G40">
        <f t="shared" si="2"/>
        <v>157.309</v>
      </c>
      <c r="J40" s="25"/>
    </row>
    <row r="41" spans="1:11" x14ac:dyDescent="0.3">
      <c r="A41" t="s">
        <v>46</v>
      </c>
      <c r="B41" t="s">
        <v>67</v>
      </c>
      <c r="C41" t="s">
        <v>157</v>
      </c>
      <c r="D41" t="s">
        <v>186</v>
      </c>
      <c r="E41">
        <v>145.339</v>
      </c>
      <c r="F41">
        <v>14.369</v>
      </c>
      <c r="G41">
        <f t="shared" si="2"/>
        <v>159.708</v>
      </c>
      <c r="J41" s="25"/>
    </row>
    <row r="42" spans="1:11" x14ac:dyDescent="0.3">
      <c r="A42" t="s">
        <v>47</v>
      </c>
      <c r="B42" t="s">
        <v>68</v>
      </c>
      <c r="C42" t="s">
        <v>158</v>
      </c>
      <c r="D42" t="s">
        <v>186</v>
      </c>
      <c r="E42">
        <v>144.727</v>
      </c>
      <c r="F42">
        <v>13.231</v>
      </c>
      <c r="G42">
        <f t="shared" si="2"/>
        <v>157.958</v>
      </c>
      <c r="J42" s="25"/>
    </row>
    <row r="43" spans="1:11" x14ac:dyDescent="0.3">
      <c r="A43" t="s">
        <v>48</v>
      </c>
      <c r="B43" t="s">
        <v>69</v>
      </c>
      <c r="C43" t="s">
        <v>159</v>
      </c>
      <c r="D43" t="s">
        <v>186</v>
      </c>
      <c r="E43">
        <v>145.57900000000001</v>
      </c>
      <c r="F43">
        <v>12.504</v>
      </c>
      <c r="G43">
        <f t="shared" si="2"/>
        <v>158.083</v>
      </c>
      <c r="J43" s="25"/>
    </row>
    <row r="44" spans="1:11" x14ac:dyDescent="0.3">
      <c r="A44" t="s">
        <v>49</v>
      </c>
      <c r="B44" t="s">
        <v>70</v>
      </c>
      <c r="C44" t="s">
        <v>160</v>
      </c>
      <c r="D44" t="s">
        <v>186</v>
      </c>
      <c r="E44">
        <v>145.298</v>
      </c>
      <c r="F44">
        <v>12.103</v>
      </c>
      <c r="G44">
        <f t="shared" si="2"/>
        <v>157.40100000000001</v>
      </c>
      <c r="J44" s="25"/>
    </row>
    <row r="45" spans="1:11" x14ac:dyDescent="0.3">
      <c r="A45" t="s">
        <v>50</v>
      </c>
      <c r="B45" t="s">
        <v>71</v>
      </c>
      <c r="C45" t="s">
        <v>161</v>
      </c>
      <c r="D45" t="s">
        <v>186</v>
      </c>
      <c r="E45">
        <v>145.63300000000001</v>
      </c>
      <c r="F45">
        <v>13.076000000000001</v>
      </c>
      <c r="G45">
        <f t="shared" si="2"/>
        <v>158.709</v>
      </c>
      <c r="J45" s="25"/>
    </row>
    <row r="46" spans="1:11" x14ac:dyDescent="0.3">
      <c r="A46" t="s">
        <v>51</v>
      </c>
      <c r="B46" t="s">
        <v>72</v>
      </c>
      <c r="C46" t="s">
        <v>162</v>
      </c>
      <c r="D46" t="s">
        <v>186</v>
      </c>
      <c r="E46">
        <v>144.81100000000001</v>
      </c>
      <c r="F46">
        <v>13.247999999999999</v>
      </c>
      <c r="G46">
        <f t="shared" si="2"/>
        <v>158.059</v>
      </c>
      <c r="J46" s="25"/>
    </row>
    <row r="47" spans="1:11" x14ac:dyDescent="0.3">
      <c r="A47" t="s">
        <v>52</v>
      </c>
      <c r="B47" t="s">
        <v>73</v>
      </c>
      <c r="C47" t="s">
        <v>163</v>
      </c>
      <c r="D47" t="s">
        <v>186</v>
      </c>
      <c r="E47">
        <v>145.41800000000001</v>
      </c>
      <c r="F47">
        <v>16.300999999999998</v>
      </c>
      <c r="G47">
        <f t="shared" si="2"/>
        <v>161.71899999999999</v>
      </c>
      <c r="J47" s="25"/>
    </row>
    <row r="48" spans="1:11" x14ac:dyDescent="0.3">
      <c r="A48" t="s">
        <v>53</v>
      </c>
      <c r="B48" t="s">
        <v>74</v>
      </c>
      <c r="C48" t="s">
        <v>164</v>
      </c>
      <c r="D48" t="s">
        <v>186</v>
      </c>
      <c r="E48">
        <v>145.36699999999999</v>
      </c>
      <c r="F48">
        <v>12.224</v>
      </c>
      <c r="G48">
        <f t="shared" si="2"/>
        <v>157.59099999999998</v>
      </c>
      <c r="J48" s="25"/>
    </row>
    <row r="49" spans="1:10" x14ac:dyDescent="0.3">
      <c r="A49" t="s">
        <v>54</v>
      </c>
      <c r="B49" t="s">
        <v>75</v>
      </c>
      <c r="C49" t="s">
        <v>165</v>
      </c>
      <c r="D49" t="s">
        <v>186</v>
      </c>
      <c r="E49">
        <v>146.434</v>
      </c>
      <c r="F49">
        <v>13.057</v>
      </c>
      <c r="G49">
        <f t="shared" si="2"/>
        <v>159.49099999999999</v>
      </c>
      <c r="J49" s="25"/>
    </row>
    <row r="50" spans="1:10" x14ac:dyDescent="0.3">
      <c r="A50" t="s">
        <v>55</v>
      </c>
      <c r="B50" t="s">
        <v>76</v>
      </c>
      <c r="C50" t="s">
        <v>166</v>
      </c>
      <c r="D50" t="s">
        <v>186</v>
      </c>
      <c r="E50">
        <v>145.93199999999999</v>
      </c>
      <c r="F50">
        <v>14.307</v>
      </c>
      <c r="G50">
        <f t="shared" si="2"/>
        <v>160.23899999999998</v>
      </c>
      <c r="J50" s="25"/>
    </row>
    <row r="51" spans="1:10" x14ac:dyDescent="0.3">
      <c r="A51" t="s">
        <v>56</v>
      </c>
      <c r="B51" t="s">
        <v>77</v>
      </c>
      <c r="C51" t="s">
        <v>167</v>
      </c>
      <c r="D51" t="s">
        <v>186</v>
      </c>
      <c r="E51">
        <v>144.81700000000001</v>
      </c>
      <c r="F51">
        <v>16.312000000000001</v>
      </c>
      <c r="G51">
        <f t="shared" si="2"/>
        <v>161.12900000000002</v>
      </c>
      <c r="J51" s="25"/>
    </row>
    <row r="52" spans="1:10" x14ac:dyDescent="0.3">
      <c r="A52" t="s">
        <v>57</v>
      </c>
      <c r="B52" t="s">
        <v>78</v>
      </c>
      <c r="C52" t="s">
        <v>168</v>
      </c>
      <c r="D52" t="s">
        <v>186</v>
      </c>
      <c r="E52">
        <v>144.67400000000001</v>
      </c>
      <c r="F52">
        <v>13.259</v>
      </c>
      <c r="G52">
        <f t="shared" si="2"/>
        <v>157.93299999999999</v>
      </c>
      <c r="J52" s="25"/>
    </row>
    <row r="53" spans="1:10" x14ac:dyDescent="0.3">
      <c r="A53" t="s">
        <v>58</v>
      </c>
      <c r="B53" t="s">
        <v>79</v>
      </c>
      <c r="C53" t="s">
        <v>169</v>
      </c>
      <c r="D53" t="s">
        <v>186</v>
      </c>
      <c r="E53">
        <v>145.214</v>
      </c>
      <c r="F53">
        <v>15.015000000000001</v>
      </c>
      <c r="G53">
        <f t="shared" si="2"/>
        <v>160.22899999999998</v>
      </c>
      <c r="J53" s="25"/>
    </row>
    <row r="54" spans="1:10" x14ac:dyDescent="0.3">
      <c r="A54" t="s">
        <v>59</v>
      </c>
      <c r="B54" t="s">
        <v>80</v>
      </c>
      <c r="C54" t="s">
        <v>170</v>
      </c>
      <c r="D54" t="s">
        <v>186</v>
      </c>
      <c r="E54">
        <v>145.703</v>
      </c>
      <c r="F54">
        <v>13.664</v>
      </c>
      <c r="G54">
        <f t="shared" si="2"/>
        <v>159.36699999999999</v>
      </c>
      <c r="J54" s="25"/>
    </row>
    <row r="55" spans="1:10" x14ac:dyDescent="0.3">
      <c r="A55" t="s">
        <v>60</v>
      </c>
      <c r="B55" t="s">
        <v>81</v>
      </c>
      <c r="C55" t="s">
        <v>171</v>
      </c>
      <c r="D55" t="s">
        <v>186</v>
      </c>
      <c r="E55">
        <v>145.11699999999999</v>
      </c>
      <c r="F55">
        <v>12.548999999999999</v>
      </c>
      <c r="G55">
        <f t="shared" si="2"/>
        <v>157.666</v>
      </c>
      <c r="J55" s="25"/>
    </row>
    <row r="56" spans="1:10" x14ac:dyDescent="0.3">
      <c r="A56" t="s">
        <v>61</v>
      </c>
      <c r="B56" t="s">
        <v>82</v>
      </c>
      <c r="C56" t="s">
        <v>172</v>
      </c>
      <c r="D56" t="s">
        <v>186</v>
      </c>
      <c r="E56">
        <v>145.48400000000001</v>
      </c>
      <c r="F56">
        <v>11.387</v>
      </c>
      <c r="G56">
        <f t="shared" si="2"/>
        <v>156.87100000000001</v>
      </c>
      <c r="J56" s="25"/>
    </row>
    <row r="57" spans="1:10" x14ac:dyDescent="0.3">
      <c r="A57" t="s">
        <v>62</v>
      </c>
      <c r="B57" t="s">
        <v>83</v>
      </c>
      <c r="C57" t="s">
        <v>173</v>
      </c>
      <c r="D57" t="s">
        <v>186</v>
      </c>
      <c r="E57">
        <v>145.97800000000001</v>
      </c>
      <c r="F57">
        <v>13.747999999999999</v>
      </c>
      <c r="G57">
        <f t="shared" si="2"/>
        <v>159.726</v>
      </c>
      <c r="J57" s="25"/>
    </row>
    <row r="58" spans="1:10" x14ac:dyDescent="0.3">
      <c r="A58" t="s">
        <v>63</v>
      </c>
      <c r="B58" t="s">
        <v>84</v>
      </c>
      <c r="C58" t="s">
        <v>174</v>
      </c>
      <c r="D58" t="s">
        <v>186</v>
      </c>
      <c r="E58">
        <v>144.94800000000001</v>
      </c>
      <c r="F58">
        <v>12.112</v>
      </c>
      <c r="G58">
        <f t="shared" si="2"/>
        <v>157.06</v>
      </c>
      <c r="J58" s="25"/>
    </row>
    <row r="59" spans="1:10" x14ac:dyDescent="0.3">
      <c r="A59" t="s">
        <v>64</v>
      </c>
      <c r="B59" t="s">
        <v>85</v>
      </c>
      <c r="C59" t="s">
        <v>175</v>
      </c>
      <c r="D59" t="s">
        <v>186</v>
      </c>
      <c r="E59">
        <v>146.256</v>
      </c>
      <c r="F59">
        <v>11.648</v>
      </c>
      <c r="G59">
        <f t="shared" si="2"/>
        <v>157.904</v>
      </c>
      <c r="J59" s="25"/>
    </row>
    <row r="60" spans="1:10" x14ac:dyDescent="0.3">
      <c r="A60" t="s">
        <v>7</v>
      </c>
      <c r="B60" t="s">
        <v>28</v>
      </c>
      <c r="C60" t="s">
        <v>176</v>
      </c>
      <c r="D60" t="s">
        <v>186</v>
      </c>
      <c r="E60">
        <v>146.488</v>
      </c>
      <c r="F60">
        <v>12.417</v>
      </c>
      <c r="G60">
        <f t="shared" si="2"/>
        <v>158.905</v>
      </c>
      <c r="J60" s="25"/>
    </row>
    <row r="61" spans="1:10" x14ac:dyDescent="0.3">
      <c r="A61" t="s">
        <v>8</v>
      </c>
      <c r="B61" t="s">
        <v>29</v>
      </c>
      <c r="C61" t="s">
        <v>177</v>
      </c>
      <c r="D61" t="s">
        <v>186</v>
      </c>
      <c r="E61">
        <v>145.982</v>
      </c>
      <c r="F61">
        <v>13.957000000000001</v>
      </c>
      <c r="G61">
        <f t="shared" si="2"/>
        <v>159.93899999999999</v>
      </c>
      <c r="J61" s="25"/>
    </row>
    <row r="62" spans="1:10" x14ac:dyDescent="0.3">
      <c r="A62" t="s">
        <v>12</v>
      </c>
      <c r="B62" t="s">
        <v>33</v>
      </c>
      <c r="C62" t="s">
        <v>178</v>
      </c>
      <c r="D62" t="s">
        <v>186</v>
      </c>
      <c r="E62">
        <v>145.98099999999999</v>
      </c>
      <c r="F62">
        <v>12.214</v>
      </c>
      <c r="G62">
        <f t="shared" si="2"/>
        <v>158.19499999999999</v>
      </c>
      <c r="J62" s="25"/>
    </row>
    <row r="63" spans="1:10" x14ac:dyDescent="0.3">
      <c r="A63" t="s">
        <v>13</v>
      </c>
      <c r="B63" t="s">
        <v>34</v>
      </c>
      <c r="C63" t="s">
        <v>179</v>
      </c>
      <c r="D63" t="s">
        <v>186</v>
      </c>
      <c r="E63">
        <v>145.887</v>
      </c>
      <c r="F63">
        <v>11.355</v>
      </c>
      <c r="G63">
        <f t="shared" si="2"/>
        <v>157.24199999999999</v>
      </c>
      <c r="J63" s="25"/>
    </row>
    <row r="64" spans="1:10" x14ac:dyDescent="0.3">
      <c r="A64" t="s">
        <v>17</v>
      </c>
      <c r="B64" t="s">
        <v>38</v>
      </c>
      <c r="C64" t="s">
        <v>180</v>
      </c>
      <c r="D64" t="s">
        <v>186</v>
      </c>
      <c r="E64">
        <v>145.41900000000001</v>
      </c>
      <c r="F64">
        <v>12.071999999999999</v>
      </c>
      <c r="G64">
        <f t="shared" si="2"/>
        <v>157.49100000000001</v>
      </c>
      <c r="J64" s="25"/>
    </row>
    <row r="65" spans="1:10" x14ac:dyDescent="0.3">
      <c r="A65" t="s">
        <v>23</v>
      </c>
      <c r="B65" t="s">
        <v>39</v>
      </c>
      <c r="C65" t="s">
        <v>181</v>
      </c>
      <c r="D65" t="s">
        <v>186</v>
      </c>
      <c r="E65">
        <v>145.67699999999999</v>
      </c>
      <c r="F65">
        <v>13.311</v>
      </c>
      <c r="G65">
        <f t="shared" si="2"/>
        <v>158.988</v>
      </c>
      <c r="J65" s="25"/>
    </row>
    <row r="66" spans="1:10" x14ac:dyDescent="0.3">
      <c r="A66" t="s">
        <v>21</v>
      </c>
      <c r="B66" t="s">
        <v>43</v>
      </c>
      <c r="C66" t="s">
        <v>182</v>
      </c>
      <c r="D66" t="s">
        <v>186</v>
      </c>
      <c r="E66">
        <v>145.62100000000001</v>
      </c>
      <c r="F66">
        <v>10.081</v>
      </c>
      <c r="G66">
        <f t="shared" si="2"/>
        <v>155.702</v>
      </c>
      <c r="J66" s="25"/>
    </row>
    <row r="67" spans="1:10" x14ac:dyDescent="0.3">
      <c r="A67" t="s">
        <v>22</v>
      </c>
      <c r="B67" t="s">
        <v>44</v>
      </c>
      <c r="C67" t="s">
        <v>183</v>
      </c>
      <c r="D67" t="s">
        <v>186</v>
      </c>
      <c r="E67">
        <v>145.81700000000001</v>
      </c>
      <c r="F67">
        <v>9.5920000000000005</v>
      </c>
      <c r="G67">
        <f t="shared" si="2"/>
        <v>155.40900000000002</v>
      </c>
      <c r="J67" s="25"/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5AE37-5CD7-48A6-BCBC-6141DAA6AC39}">
  <dimension ref="A1:AQ76"/>
  <sheetViews>
    <sheetView zoomScaleNormal="100" workbookViewId="0">
      <selection activeCell="AM8" sqref="AM8"/>
    </sheetView>
  </sheetViews>
  <sheetFormatPr baseColWidth="10" defaultRowHeight="14.4" x14ac:dyDescent="0.3"/>
  <cols>
    <col min="1" max="1" width="13.44140625" customWidth="1"/>
    <col min="2" max="2" width="10.33203125" bestFit="1" customWidth="1"/>
    <col min="3" max="3" width="12.33203125" bestFit="1" customWidth="1"/>
    <col min="4" max="4" width="12.5546875" bestFit="1" customWidth="1"/>
    <col min="7" max="7" width="15.109375" bestFit="1" customWidth="1"/>
    <col min="10" max="10" width="17.88671875" bestFit="1" customWidth="1"/>
    <col min="11" max="11" width="12.77734375" bestFit="1" customWidth="1"/>
    <col min="13" max="13" width="20" bestFit="1" customWidth="1"/>
    <col min="14" max="14" width="21.88671875" bestFit="1" customWidth="1"/>
    <col min="15" max="15" width="29.44140625" bestFit="1" customWidth="1"/>
    <col min="16" max="16" width="15.44140625" customWidth="1"/>
    <col min="17" max="17" width="21.88671875" bestFit="1" customWidth="1"/>
    <col min="18" max="18" width="30.6640625" bestFit="1" customWidth="1"/>
    <col min="19" max="19" width="14" bestFit="1" customWidth="1"/>
    <col min="20" max="20" width="11" customWidth="1"/>
    <col min="24" max="24" width="12.33203125" bestFit="1" customWidth="1"/>
    <col min="25" max="25" width="12.5546875" bestFit="1" customWidth="1"/>
    <col min="29" max="29" width="22.88671875" bestFit="1" customWidth="1"/>
    <col min="30" max="30" width="17.88671875" bestFit="1" customWidth="1"/>
    <col min="31" max="31" width="12.77734375" bestFit="1" customWidth="1"/>
    <col min="33" max="33" width="20" bestFit="1" customWidth="1"/>
    <col min="34" max="37" width="21" customWidth="1"/>
    <col min="38" max="38" width="21.88671875" bestFit="1" customWidth="1"/>
    <col min="39" max="39" width="29.44140625" bestFit="1" customWidth="1"/>
    <col min="40" max="40" width="22.5546875" bestFit="1" customWidth="1"/>
    <col min="41" max="41" width="21.88671875" bestFit="1" customWidth="1"/>
    <col min="42" max="42" width="30.6640625" bestFit="1" customWidth="1"/>
  </cols>
  <sheetData>
    <row r="1" spans="1:43" ht="18" x14ac:dyDescent="0.35">
      <c r="A1" s="3" t="s">
        <v>230</v>
      </c>
      <c r="G1" s="61" t="s">
        <v>406</v>
      </c>
      <c r="H1" s="62" t="s">
        <v>404</v>
      </c>
      <c r="I1" s="62"/>
      <c r="J1" s="62"/>
      <c r="K1" s="62"/>
      <c r="L1" s="62"/>
      <c r="M1" s="62"/>
      <c r="N1" s="62"/>
      <c r="O1" s="62"/>
      <c r="P1" s="63"/>
      <c r="V1" s="3" t="s">
        <v>222</v>
      </c>
      <c r="AE1" s="61" t="s">
        <v>406</v>
      </c>
      <c r="AF1" s="62" t="s">
        <v>404</v>
      </c>
      <c r="AG1" s="62"/>
      <c r="AH1" s="62"/>
      <c r="AI1" s="62"/>
      <c r="AJ1" s="62"/>
      <c r="AK1" s="62"/>
      <c r="AL1" s="62"/>
      <c r="AM1" s="62"/>
      <c r="AN1" s="62"/>
      <c r="AO1" s="62"/>
      <c r="AP1" s="63"/>
    </row>
    <row r="2" spans="1:43" x14ac:dyDescent="0.3">
      <c r="A2" s="48" t="s">
        <v>304</v>
      </c>
      <c r="G2" s="64"/>
      <c r="H2" s="65" t="s">
        <v>405</v>
      </c>
      <c r="I2" s="65"/>
      <c r="J2" s="65"/>
      <c r="K2" s="65"/>
      <c r="L2" s="65"/>
      <c r="M2" s="65"/>
      <c r="N2" s="65"/>
      <c r="O2" s="65"/>
      <c r="P2" s="66"/>
      <c r="V2" s="5" t="s">
        <v>338</v>
      </c>
      <c r="AE2" s="64"/>
      <c r="AF2" s="65" t="s">
        <v>416</v>
      </c>
      <c r="AG2" s="65"/>
      <c r="AH2" s="65"/>
      <c r="AI2" s="65"/>
      <c r="AJ2" s="65"/>
      <c r="AK2" s="65"/>
      <c r="AL2" s="65"/>
      <c r="AM2" s="65"/>
      <c r="AN2" s="65"/>
      <c r="AO2" s="65"/>
      <c r="AP2" s="66"/>
    </row>
    <row r="3" spans="1:43" ht="15" thickBot="1" x14ac:dyDescent="0.35">
      <c r="A3" t="s">
        <v>320</v>
      </c>
      <c r="G3" s="67"/>
      <c r="H3" s="68" t="s">
        <v>408</v>
      </c>
      <c r="I3" s="68"/>
      <c r="J3" s="68"/>
      <c r="K3" s="68"/>
      <c r="L3" s="68"/>
      <c r="M3" s="68"/>
      <c r="N3" s="68"/>
      <c r="O3" s="68"/>
      <c r="P3" s="69"/>
      <c r="V3" t="s">
        <v>413</v>
      </c>
      <c r="AE3" s="67"/>
      <c r="AF3" s="68" t="s">
        <v>457</v>
      </c>
      <c r="AG3" s="68"/>
      <c r="AH3" s="68"/>
      <c r="AI3" s="68"/>
      <c r="AJ3" s="68"/>
      <c r="AK3" s="68"/>
      <c r="AL3" s="68"/>
      <c r="AM3" s="68"/>
      <c r="AN3" s="68"/>
      <c r="AO3" s="68"/>
      <c r="AP3" s="69"/>
    </row>
    <row r="4" spans="1:43" x14ac:dyDescent="0.3">
      <c r="A4" t="s">
        <v>321</v>
      </c>
      <c r="V4" t="s">
        <v>414</v>
      </c>
    </row>
    <row r="5" spans="1:43" x14ac:dyDescent="0.3">
      <c r="A5" t="s">
        <v>322</v>
      </c>
      <c r="V5" t="s">
        <v>454</v>
      </c>
    </row>
    <row r="6" spans="1:43" x14ac:dyDescent="0.3">
      <c r="A6" t="s">
        <v>407</v>
      </c>
      <c r="G6" s="2"/>
      <c r="L6" s="2"/>
      <c r="N6" s="105"/>
      <c r="V6" t="s">
        <v>419</v>
      </c>
      <c r="AC6" s="2"/>
    </row>
    <row r="7" spans="1:43" x14ac:dyDescent="0.3">
      <c r="A7" t="s">
        <v>412</v>
      </c>
      <c r="G7" s="2"/>
      <c r="L7" s="2"/>
      <c r="N7" s="105"/>
      <c r="V7" t="s">
        <v>420</v>
      </c>
      <c r="AC7" s="2"/>
    </row>
    <row r="8" spans="1:43" x14ac:dyDescent="0.3">
      <c r="A8" t="s">
        <v>336</v>
      </c>
      <c r="G8" s="2"/>
      <c r="L8" s="2"/>
      <c r="V8" t="s">
        <v>455</v>
      </c>
      <c r="AC8" s="2"/>
      <c r="AL8" s="26"/>
    </row>
    <row r="9" spans="1:43" x14ac:dyDescent="0.3">
      <c r="A9" t="s">
        <v>453</v>
      </c>
      <c r="G9" s="2"/>
      <c r="AC9" s="2"/>
      <c r="AL9" s="26"/>
    </row>
    <row r="10" spans="1:43" x14ac:dyDescent="0.3">
      <c r="A10" t="s">
        <v>452</v>
      </c>
      <c r="G10" s="2"/>
      <c r="AC10" s="2"/>
      <c r="AL10" s="26"/>
    </row>
    <row r="11" spans="1:43" x14ac:dyDescent="0.3">
      <c r="A11" s="4" t="s">
        <v>422</v>
      </c>
      <c r="G11" s="2"/>
      <c r="AC11" s="2"/>
    </row>
    <row r="12" spans="1:43" x14ac:dyDescent="0.3">
      <c r="A12" s="4" t="s">
        <v>421</v>
      </c>
      <c r="G12" s="2"/>
      <c r="AC12" s="2"/>
      <c r="AH12" s="26"/>
      <c r="AI12" s="26"/>
      <c r="AJ12" s="26"/>
    </row>
    <row r="13" spans="1:43" x14ac:dyDescent="0.3">
      <c r="A13" s="4" t="s">
        <v>456</v>
      </c>
    </row>
    <row r="15" spans="1:43" ht="15.6" x14ac:dyDescent="0.3">
      <c r="Q15" s="73" t="s">
        <v>409</v>
      </c>
      <c r="AO15" s="73" t="s">
        <v>409</v>
      </c>
    </row>
    <row r="16" spans="1:43" x14ac:dyDescent="0.3">
      <c r="A16" s="1" t="s">
        <v>2</v>
      </c>
      <c r="B16" s="1" t="s">
        <v>89</v>
      </c>
      <c r="C16" s="1" t="s">
        <v>127</v>
      </c>
      <c r="D16" s="1" t="s">
        <v>184</v>
      </c>
      <c r="E16" s="1" t="s">
        <v>223</v>
      </c>
      <c r="F16" s="1" t="s">
        <v>261</v>
      </c>
      <c r="G16" s="1" t="s">
        <v>224</v>
      </c>
      <c r="H16" s="1" t="s">
        <v>227</v>
      </c>
      <c r="I16" s="1" t="s">
        <v>471</v>
      </c>
      <c r="J16" s="1" t="s">
        <v>193</v>
      </c>
      <c r="K16" s="1" t="s">
        <v>102</v>
      </c>
      <c r="L16" s="1" t="s">
        <v>229</v>
      </c>
      <c r="M16" s="1" t="s">
        <v>337</v>
      </c>
      <c r="N16" s="1" t="s">
        <v>343</v>
      </c>
      <c r="O16" s="1" t="s">
        <v>344</v>
      </c>
      <c r="P16" s="1" t="s">
        <v>345</v>
      </c>
      <c r="Q16" s="74" t="s">
        <v>343</v>
      </c>
      <c r="R16" s="1" t="s">
        <v>410</v>
      </c>
      <c r="S16" s="1" t="s">
        <v>411</v>
      </c>
      <c r="T16" s="1"/>
      <c r="V16" s="1" t="s">
        <v>2</v>
      </c>
      <c r="W16" s="1" t="s">
        <v>89</v>
      </c>
      <c r="X16" s="1" t="s">
        <v>127</v>
      </c>
      <c r="Y16" s="1" t="s">
        <v>184</v>
      </c>
      <c r="Z16" s="1" t="s">
        <v>223</v>
      </c>
      <c r="AA16" s="1" t="s">
        <v>261</v>
      </c>
      <c r="AB16" s="1" t="s">
        <v>224</v>
      </c>
      <c r="AC16" s="1" t="s">
        <v>415</v>
      </c>
      <c r="AD16" s="1" t="s">
        <v>193</v>
      </c>
      <c r="AE16" s="1" t="s">
        <v>102</v>
      </c>
      <c r="AF16" s="1" t="s">
        <v>229</v>
      </c>
      <c r="AG16" s="1" t="s">
        <v>337</v>
      </c>
      <c r="AH16" s="1" t="s">
        <v>448</v>
      </c>
      <c r="AI16" s="1" t="s">
        <v>472</v>
      </c>
      <c r="AJ16" s="1" t="s">
        <v>473</v>
      </c>
      <c r="AK16" s="1" t="s">
        <v>423</v>
      </c>
      <c r="AL16" s="1" t="s">
        <v>343</v>
      </c>
      <c r="AM16" s="1" t="s">
        <v>344</v>
      </c>
      <c r="AN16" s="1" t="s">
        <v>345</v>
      </c>
      <c r="AO16" s="74" t="s">
        <v>343</v>
      </c>
      <c r="AP16" s="1" t="s">
        <v>410</v>
      </c>
      <c r="AQ16" s="1" t="s">
        <v>411</v>
      </c>
    </row>
    <row r="17" spans="1:43" x14ac:dyDescent="0.3">
      <c r="A17" t="s">
        <v>4</v>
      </c>
      <c r="B17" t="s">
        <v>25</v>
      </c>
      <c r="C17" t="s">
        <v>128</v>
      </c>
      <c r="D17" t="s">
        <v>185</v>
      </c>
      <c r="E17" t="s">
        <v>128</v>
      </c>
      <c r="F17">
        <v>1</v>
      </c>
      <c r="G17" t="s">
        <v>226</v>
      </c>
      <c r="H17" s="8">
        <v>0.3503</v>
      </c>
      <c r="I17" s="8">
        <f>H17*1000</f>
        <v>350.3</v>
      </c>
      <c r="J17" s="25">
        <f>'3_Pre-incubation'!K12</f>
        <v>1.5179258823636559</v>
      </c>
      <c r="K17" s="25">
        <f>H17/(1+J17)</f>
        <v>0.13912244298118992</v>
      </c>
      <c r="L17" s="25">
        <f>K17*J17</f>
        <v>0.21117755701881011</v>
      </c>
      <c r="M17" s="47">
        <v>150</v>
      </c>
      <c r="N17" s="26">
        <v>0.98319999999999996</v>
      </c>
      <c r="O17">
        <v>1.0759000000000001</v>
      </c>
      <c r="P17" s="26">
        <f>O17-N17</f>
        <v>9.2700000000000116E-2</v>
      </c>
      <c r="Q17" s="14">
        <v>0.97219999999999995</v>
      </c>
      <c r="R17" s="77">
        <v>1.0172000000000001</v>
      </c>
      <c r="S17" s="26">
        <f>R17-Q17</f>
        <v>4.5000000000000151E-2</v>
      </c>
      <c r="V17" t="s">
        <v>45</v>
      </c>
      <c r="W17" t="s">
        <v>66</v>
      </c>
      <c r="X17" t="s">
        <v>156</v>
      </c>
      <c r="Y17" t="s">
        <v>186</v>
      </c>
      <c r="Z17" t="s">
        <v>156</v>
      </c>
      <c r="AA17">
        <v>57</v>
      </c>
      <c r="AB17" t="s">
        <v>226</v>
      </c>
      <c r="AC17" s="8">
        <v>0.3538</v>
      </c>
      <c r="AD17" s="26">
        <v>2.5392545366196999</v>
      </c>
      <c r="AE17" s="26">
        <f>AC17/(1+AD17)</f>
        <v>9.9964553648043131E-2</v>
      </c>
      <c r="AF17" s="26">
        <f t="shared" ref="AF17:AF44" si="0">AE17*AD17</f>
        <v>0.25383544635195687</v>
      </c>
      <c r="AG17" s="47">
        <v>149</v>
      </c>
      <c r="AH17" s="26">
        <v>0.36649999999999999</v>
      </c>
      <c r="AI17" s="26">
        <f t="shared" ref="AI17:AI44" si="1">AH17-((AG17/1000)/(AC17+AG17/1000))*AH17</f>
        <v>0.25789120922832143</v>
      </c>
      <c r="AJ17" s="26">
        <f>AI17*1000</f>
        <v>257.89120922832143</v>
      </c>
      <c r="AK17" s="26">
        <f>((AH17)-((AG17/1000)/(AE17+AF17+AG17/1000)*AH17))/(1+AD17)</f>
        <v>7.2865968400970191E-2</v>
      </c>
      <c r="AL17" s="26">
        <v>0.98080000000000001</v>
      </c>
      <c r="AM17" s="26">
        <v>1.0758000000000001</v>
      </c>
      <c r="AN17" s="26">
        <f>AM17-AL17</f>
        <v>9.5000000000000084E-2</v>
      </c>
      <c r="AO17" s="14">
        <v>0.97909999999999997</v>
      </c>
      <c r="AP17" s="77">
        <v>1.0267999999999999</v>
      </c>
      <c r="AQ17" s="26">
        <f>AP17-AO17</f>
        <v>4.7699999999999965E-2</v>
      </c>
    </row>
    <row r="18" spans="1:43" x14ac:dyDescent="0.3">
      <c r="A18" t="s">
        <v>4</v>
      </c>
      <c r="B18" t="s">
        <v>25</v>
      </c>
      <c r="C18" t="s">
        <v>128</v>
      </c>
      <c r="D18" t="s">
        <v>185</v>
      </c>
      <c r="E18" t="s">
        <v>231</v>
      </c>
      <c r="F18">
        <v>2</v>
      </c>
      <c r="G18" t="s">
        <v>225</v>
      </c>
      <c r="H18" s="8">
        <v>0.36070000000000002</v>
      </c>
      <c r="I18" s="8">
        <f t="shared" ref="I18:I74" si="2">H18*1000</f>
        <v>360.70000000000005</v>
      </c>
      <c r="J18" s="25">
        <f>J17</f>
        <v>1.5179258823636559</v>
      </c>
      <c r="K18" s="25">
        <f>H18/(1+J18)</f>
        <v>0.14325282667232431</v>
      </c>
      <c r="L18" s="25">
        <f t="shared" ref="L18:L74" si="3">K18*J18</f>
        <v>0.21744717332767574</v>
      </c>
      <c r="M18" s="47">
        <v>150</v>
      </c>
      <c r="N18" s="26">
        <v>0.98560000000000003</v>
      </c>
      <c r="O18">
        <v>1.0884</v>
      </c>
      <c r="P18" s="26">
        <f t="shared" ref="P18:P76" si="4">O18-N18</f>
        <v>0.1028</v>
      </c>
      <c r="Q18" s="14">
        <v>0.98270000000000002</v>
      </c>
      <c r="R18" s="77">
        <v>1.0285</v>
      </c>
      <c r="S18" s="26">
        <f t="shared" ref="S18:S76" si="5">R18-Q18</f>
        <v>4.5799999999999952E-2</v>
      </c>
      <c r="V18" t="s">
        <v>45</v>
      </c>
      <c r="W18" t="s">
        <v>66</v>
      </c>
      <c r="X18" t="s">
        <v>156</v>
      </c>
      <c r="Y18" t="s">
        <v>186</v>
      </c>
      <c r="Z18" t="s">
        <v>195</v>
      </c>
      <c r="AA18">
        <v>58</v>
      </c>
      <c r="AB18" t="s">
        <v>225</v>
      </c>
      <c r="AC18" s="8">
        <f>0.3865-0.0214</f>
        <v>0.36510000000000004</v>
      </c>
      <c r="AD18" s="26">
        <v>2.539254536619695</v>
      </c>
      <c r="AE18" s="26">
        <f t="shared" ref="AE18:AE74" si="6">AC18/(1+AD18)</f>
        <v>0.1031573163846823</v>
      </c>
      <c r="AF18" s="26">
        <f t="shared" si="0"/>
        <v>0.26194268361531775</v>
      </c>
      <c r="AG18" s="47">
        <v>162</v>
      </c>
      <c r="AH18" s="47">
        <v>0.35410000000000003</v>
      </c>
      <c r="AI18" s="26">
        <f t="shared" si="1"/>
        <v>0.24527017643710874</v>
      </c>
      <c r="AJ18" s="26">
        <f t="shared" ref="AJ18:AJ74" si="7">AI18*1000</f>
        <v>245.27017643710874</v>
      </c>
      <c r="AK18" s="26">
        <f t="shared" ref="AK18:AK44" si="8">((AH18)-((AG18/1000)/(AE18+AF18+AG18/1000)*AH18))/(1+AD18)</f>
        <v>6.9299953959051419E-2</v>
      </c>
      <c r="AL18" s="26">
        <v>0.98170000000000002</v>
      </c>
      <c r="AM18" s="26">
        <v>1.0781000000000001</v>
      </c>
      <c r="AN18" s="26">
        <f t="shared" ref="AN18:AN74" si="9">AM18-AL18</f>
        <v>9.6400000000000041E-2</v>
      </c>
      <c r="AO18" s="14">
        <v>0.97960000000000003</v>
      </c>
      <c r="AP18" s="77">
        <v>1.0274000000000001</v>
      </c>
      <c r="AQ18" s="26">
        <f t="shared" ref="AQ18:AQ74" si="10">AP18-AO18</f>
        <v>4.7800000000000065E-2</v>
      </c>
    </row>
    <row r="19" spans="1:43" x14ac:dyDescent="0.3">
      <c r="A19" t="s">
        <v>5</v>
      </c>
      <c r="B19" t="s">
        <v>26</v>
      </c>
      <c r="C19" t="s">
        <v>129</v>
      </c>
      <c r="D19" t="s">
        <v>185</v>
      </c>
      <c r="E19" t="s">
        <v>129</v>
      </c>
      <c r="F19">
        <v>3</v>
      </c>
      <c r="G19" t="s">
        <v>226</v>
      </c>
      <c r="H19" s="8">
        <v>0.35460000000000003</v>
      </c>
      <c r="I19" s="8">
        <f t="shared" si="2"/>
        <v>354.6</v>
      </c>
      <c r="J19" s="25">
        <f>'3_Pre-incubation'!K13</f>
        <v>1.5089581655117073</v>
      </c>
      <c r="K19" s="25">
        <f t="shared" ref="K19:K74" si="11">H19/(1+J19)</f>
        <v>0.14133356421575829</v>
      </c>
      <c r="L19" s="25">
        <f t="shared" si="3"/>
        <v>0.2132664357842417</v>
      </c>
      <c r="M19" s="47">
        <v>150</v>
      </c>
      <c r="N19" s="26">
        <v>0.97719999999999996</v>
      </c>
      <c r="O19">
        <v>1.0755999999999999</v>
      </c>
      <c r="P19" s="26">
        <f t="shared" si="4"/>
        <v>9.8399999999999932E-2</v>
      </c>
      <c r="Q19" s="14">
        <v>0.98340000000000005</v>
      </c>
      <c r="R19" s="77">
        <v>1.0306999999999999</v>
      </c>
      <c r="S19" s="26">
        <f t="shared" si="5"/>
        <v>4.7299999999999898E-2</v>
      </c>
      <c r="V19" t="s">
        <v>46</v>
      </c>
      <c r="W19" t="s">
        <v>67</v>
      </c>
      <c r="X19" t="s">
        <v>157</v>
      </c>
      <c r="Y19" t="s">
        <v>186</v>
      </c>
      <c r="Z19" t="s">
        <v>157</v>
      </c>
      <c r="AA19">
        <v>59</v>
      </c>
      <c r="AB19" t="s">
        <v>226</v>
      </c>
      <c r="AC19" s="8">
        <v>0.375</v>
      </c>
      <c r="AD19" s="26">
        <v>1.5003686904644775</v>
      </c>
      <c r="AE19" s="26">
        <f t="shared" si="6"/>
        <v>0.1499778818340341</v>
      </c>
      <c r="AF19" s="26">
        <f t="shared" si="0"/>
        <v>0.2250221181659659</v>
      </c>
      <c r="AG19" s="47">
        <v>147</v>
      </c>
      <c r="AH19" s="26">
        <v>0.41649999999999998</v>
      </c>
      <c r="AI19" s="26">
        <f t="shared" si="1"/>
        <v>0.29920977011494254</v>
      </c>
      <c r="AJ19" s="26">
        <f t="shared" si="7"/>
        <v>299.20977011494256</v>
      </c>
      <c r="AK19" s="26">
        <f t="shared" si="8"/>
        <v>0.11966626012236629</v>
      </c>
      <c r="AL19" s="26">
        <v>0.98329999999999995</v>
      </c>
      <c r="AM19" s="26">
        <v>1.0786</v>
      </c>
      <c r="AN19" s="26">
        <f t="shared" si="9"/>
        <v>9.5300000000000051E-2</v>
      </c>
      <c r="AO19" s="14">
        <v>0.98599999999999999</v>
      </c>
      <c r="AP19" s="77">
        <v>1.0345</v>
      </c>
      <c r="AQ19" s="26">
        <f t="shared" si="10"/>
        <v>4.8499999999999988E-2</v>
      </c>
    </row>
    <row r="20" spans="1:43" x14ac:dyDescent="0.3">
      <c r="A20" t="s">
        <v>5</v>
      </c>
      <c r="B20" t="s">
        <v>26</v>
      </c>
      <c r="C20" t="s">
        <v>129</v>
      </c>
      <c r="D20" t="s">
        <v>185</v>
      </c>
      <c r="E20" t="s">
        <v>232</v>
      </c>
      <c r="F20">
        <v>4</v>
      </c>
      <c r="G20" t="s">
        <v>225</v>
      </c>
      <c r="H20" s="8">
        <v>0.35389999999999999</v>
      </c>
      <c r="I20" s="8">
        <f t="shared" si="2"/>
        <v>353.9</v>
      </c>
      <c r="J20" s="25">
        <f t="shared" ref="J20" si="12">J19</f>
        <v>1.5089581655117073</v>
      </c>
      <c r="K20" s="25">
        <f t="shared" si="11"/>
        <v>0.14105456394798888</v>
      </c>
      <c r="L20" s="25">
        <f t="shared" si="3"/>
        <v>0.21284543605201109</v>
      </c>
      <c r="M20" s="47">
        <v>150</v>
      </c>
      <c r="N20" s="26">
        <v>0.97660000000000002</v>
      </c>
      <c r="O20">
        <v>1.0686</v>
      </c>
      <c r="P20" s="26">
        <f t="shared" si="4"/>
        <v>9.1999999999999971E-2</v>
      </c>
      <c r="Q20" s="14">
        <v>0.98250000000000004</v>
      </c>
      <c r="R20" s="77">
        <v>1.0278</v>
      </c>
      <c r="S20" s="26">
        <f t="shared" si="5"/>
        <v>4.5300000000000007E-2</v>
      </c>
      <c r="V20" t="s">
        <v>46</v>
      </c>
      <c r="W20" t="s">
        <v>67</v>
      </c>
      <c r="X20" t="s">
        <v>157</v>
      </c>
      <c r="Y20" t="s">
        <v>186</v>
      </c>
      <c r="Z20" t="s">
        <v>196</v>
      </c>
      <c r="AA20">
        <v>60</v>
      </c>
      <c r="AB20" t="s">
        <v>225</v>
      </c>
      <c r="AC20" s="8">
        <f>0.398-0.0362</f>
        <v>0.36180000000000001</v>
      </c>
      <c r="AD20" s="26">
        <v>1.5003686904644775</v>
      </c>
      <c r="AE20" s="26">
        <f t="shared" si="6"/>
        <v>0.14469866039347612</v>
      </c>
      <c r="AF20" s="26">
        <f t="shared" si="0"/>
        <v>0.21710133960652392</v>
      </c>
      <c r="AG20" s="47">
        <v>135</v>
      </c>
      <c r="AH20" s="47">
        <v>0.41339999999999999</v>
      </c>
      <c r="AI20" s="26">
        <f t="shared" si="1"/>
        <v>0.30106304347826085</v>
      </c>
      <c r="AJ20" s="26">
        <f t="shared" si="7"/>
        <v>301.06304347826085</v>
      </c>
      <c r="AK20" s="26">
        <f t="shared" si="8"/>
        <v>0.1204074601583394</v>
      </c>
      <c r="AL20" s="26">
        <v>0.97550000000000003</v>
      </c>
      <c r="AM20" s="26">
        <v>1.0706</v>
      </c>
      <c r="AN20" s="26">
        <f t="shared" si="9"/>
        <v>9.5099999999999962E-2</v>
      </c>
      <c r="AO20" s="14">
        <v>0.98250000000000004</v>
      </c>
      <c r="AP20" s="77">
        <v>1.0306</v>
      </c>
      <c r="AQ20" s="26">
        <f t="shared" si="10"/>
        <v>4.8099999999999921E-2</v>
      </c>
    </row>
    <row r="21" spans="1:43" x14ac:dyDescent="0.3">
      <c r="A21" t="s">
        <v>6</v>
      </c>
      <c r="B21" t="s">
        <v>27</v>
      </c>
      <c r="C21" t="s">
        <v>130</v>
      </c>
      <c r="D21" t="s">
        <v>185</v>
      </c>
      <c r="E21" t="s">
        <v>130</v>
      </c>
      <c r="F21">
        <v>5</v>
      </c>
      <c r="G21" t="s">
        <v>226</v>
      </c>
      <c r="H21" s="8">
        <v>0.35539999999999999</v>
      </c>
      <c r="I21" s="8">
        <f t="shared" si="2"/>
        <v>355.4</v>
      </c>
      <c r="J21" s="25">
        <f>'3_Pre-incubation'!K14</f>
        <v>1.5298493196155001</v>
      </c>
      <c r="K21" s="25">
        <f t="shared" si="11"/>
        <v>0.1404826750922919</v>
      </c>
      <c r="L21" s="25">
        <f t="shared" si="3"/>
        <v>0.21491732490770812</v>
      </c>
      <c r="M21" s="47">
        <v>150</v>
      </c>
      <c r="N21" s="26">
        <v>0.98370000000000002</v>
      </c>
      <c r="O21">
        <v>1.0749</v>
      </c>
      <c r="P21" s="26">
        <f>O21-N21</f>
        <v>9.1199999999999948E-2</v>
      </c>
      <c r="Q21" s="14">
        <v>0.97909999999999997</v>
      </c>
      <c r="R21" s="77">
        <v>1.0249999999999999</v>
      </c>
      <c r="S21" s="26">
        <f t="shared" si="5"/>
        <v>4.5899999999999941E-2</v>
      </c>
      <c r="V21" t="s">
        <v>47</v>
      </c>
      <c r="W21" t="s">
        <v>68</v>
      </c>
      <c r="X21" t="s">
        <v>158</v>
      </c>
      <c r="Y21" t="s">
        <v>186</v>
      </c>
      <c r="Z21" t="s">
        <v>158</v>
      </c>
      <c r="AA21">
        <v>61</v>
      </c>
      <c r="AB21" t="s">
        <v>226</v>
      </c>
      <c r="AC21" s="8">
        <v>0.3735</v>
      </c>
      <c r="AD21" s="26">
        <v>1.5225885528816856</v>
      </c>
      <c r="AE21" s="26">
        <f t="shared" si="6"/>
        <v>0.1480621957050155</v>
      </c>
      <c r="AF21" s="26">
        <f t="shared" si="0"/>
        <v>0.22543780429498447</v>
      </c>
      <c r="AG21" s="47">
        <v>145</v>
      </c>
      <c r="AH21" s="26">
        <v>0.36480000000000001</v>
      </c>
      <c r="AI21" s="26">
        <f t="shared" si="1"/>
        <v>0.26278264223722275</v>
      </c>
      <c r="AJ21" s="26">
        <f t="shared" si="7"/>
        <v>262.78264223722277</v>
      </c>
      <c r="AK21" s="26">
        <f t="shared" si="8"/>
        <v>0.1041718206233166</v>
      </c>
      <c r="AL21" s="26">
        <v>0.98219999999999996</v>
      </c>
      <c r="AM21" s="26">
        <v>1.0778000000000001</v>
      </c>
      <c r="AN21" s="26">
        <f t="shared" si="9"/>
        <v>9.5600000000000129E-2</v>
      </c>
      <c r="AO21" s="14">
        <v>0.98240000000000005</v>
      </c>
      <c r="AP21" s="77">
        <v>1.0303</v>
      </c>
      <c r="AQ21" s="26">
        <f t="shared" si="10"/>
        <v>4.7899999999999943E-2</v>
      </c>
    </row>
    <row r="22" spans="1:43" x14ac:dyDescent="0.3">
      <c r="A22" t="s">
        <v>6</v>
      </c>
      <c r="B22" t="s">
        <v>27</v>
      </c>
      <c r="C22" t="s">
        <v>130</v>
      </c>
      <c r="D22" t="s">
        <v>185</v>
      </c>
      <c r="E22" t="s">
        <v>233</v>
      </c>
      <c r="F22">
        <v>6</v>
      </c>
      <c r="G22" t="s">
        <v>225</v>
      </c>
      <c r="H22" s="8">
        <v>0.35580000000000001</v>
      </c>
      <c r="I22" s="8">
        <f t="shared" si="2"/>
        <v>355.8</v>
      </c>
      <c r="J22" s="25">
        <f t="shared" ref="J22" si="13">J21</f>
        <v>1.5298493196155001</v>
      </c>
      <c r="K22" s="25">
        <f t="shared" si="11"/>
        <v>0.14064078727585105</v>
      </c>
      <c r="L22" s="25">
        <f t="shared" si="3"/>
        <v>0.21515921272414901</v>
      </c>
      <c r="M22" s="47">
        <v>150</v>
      </c>
      <c r="N22" s="26">
        <v>0.98170000000000002</v>
      </c>
      <c r="O22">
        <v>1.0730999999999999</v>
      </c>
      <c r="P22" s="26">
        <f t="shared" si="4"/>
        <v>9.1399999999999926E-2</v>
      </c>
      <c r="Q22" s="14">
        <v>0.97989999999999999</v>
      </c>
      <c r="R22" s="77">
        <v>1.0266999999999999</v>
      </c>
      <c r="S22" s="26">
        <f t="shared" si="5"/>
        <v>4.6799999999999953E-2</v>
      </c>
      <c r="V22" t="s">
        <v>47</v>
      </c>
      <c r="W22" t="s">
        <v>68</v>
      </c>
      <c r="X22" t="s">
        <v>158</v>
      </c>
      <c r="Y22" t="s">
        <v>186</v>
      </c>
      <c r="Z22" t="s">
        <v>197</v>
      </c>
      <c r="AA22">
        <v>62</v>
      </c>
      <c r="AB22" t="s">
        <v>225</v>
      </c>
      <c r="AC22" s="8">
        <v>0.36030000000000001</v>
      </c>
      <c r="AD22" s="26">
        <v>1.5225885528816856</v>
      </c>
      <c r="AE22" s="26">
        <f t="shared" si="6"/>
        <v>0.142829475535521</v>
      </c>
      <c r="AF22" s="26">
        <f t="shared" si="0"/>
        <v>0.21747052446447904</v>
      </c>
      <c r="AG22" s="47">
        <v>162</v>
      </c>
      <c r="AH22" s="26">
        <v>0.38479999999999998</v>
      </c>
      <c r="AI22" s="26">
        <f t="shared" si="1"/>
        <v>0.26544790350373348</v>
      </c>
      <c r="AJ22" s="26">
        <f t="shared" si="7"/>
        <v>265.44790350373347</v>
      </c>
      <c r="AK22" s="26">
        <f t="shared" si="8"/>
        <v>0.10522837868288049</v>
      </c>
      <c r="AL22" s="26">
        <v>0.98209999999999997</v>
      </c>
      <c r="AM22" s="26">
        <v>1.0769</v>
      </c>
      <c r="AN22" s="26">
        <f t="shared" si="9"/>
        <v>9.4799999999999995E-2</v>
      </c>
      <c r="AO22" s="14">
        <v>0.97989999999999999</v>
      </c>
      <c r="AP22" s="77">
        <v>1.0276000000000001</v>
      </c>
      <c r="AQ22" s="26">
        <f t="shared" si="10"/>
        <v>4.7700000000000076E-2</v>
      </c>
    </row>
    <row r="23" spans="1:43" x14ac:dyDescent="0.3">
      <c r="A23" t="s">
        <v>7</v>
      </c>
      <c r="B23" t="s">
        <v>28</v>
      </c>
      <c r="C23" t="s">
        <v>131</v>
      </c>
      <c r="D23" t="s">
        <v>185</v>
      </c>
      <c r="E23" t="s">
        <v>131</v>
      </c>
      <c r="F23">
        <v>7</v>
      </c>
      <c r="G23" t="s">
        <v>226</v>
      </c>
      <c r="H23" s="8">
        <v>0.35289999999999999</v>
      </c>
      <c r="I23" s="8">
        <f t="shared" si="2"/>
        <v>352.9</v>
      </c>
      <c r="J23" s="25">
        <f>'3_Pre-incubation'!K15</f>
        <v>1.5656928467890334</v>
      </c>
      <c r="K23" s="25">
        <f t="shared" si="11"/>
        <v>0.13754569275182515</v>
      </c>
      <c r="L23" s="25">
        <f t="shared" si="3"/>
        <v>0.21535430724817484</v>
      </c>
      <c r="M23" s="47">
        <v>150</v>
      </c>
      <c r="N23" s="26">
        <v>0.98089999999999999</v>
      </c>
      <c r="O23">
        <v>1.0745</v>
      </c>
      <c r="P23" s="26">
        <f t="shared" si="4"/>
        <v>9.3600000000000017E-2</v>
      </c>
      <c r="Q23" s="14">
        <v>0.98029999999999995</v>
      </c>
      <c r="R23" s="77">
        <v>1.0265</v>
      </c>
      <c r="S23" s="26">
        <f t="shared" si="5"/>
        <v>4.6200000000000019E-2</v>
      </c>
      <c r="V23" t="s">
        <v>48</v>
      </c>
      <c r="W23" t="s">
        <v>69</v>
      </c>
      <c r="X23" t="s">
        <v>159</v>
      </c>
      <c r="Y23" t="s">
        <v>186</v>
      </c>
      <c r="Z23" t="s">
        <v>159</v>
      </c>
      <c r="AA23">
        <v>63</v>
      </c>
      <c r="AB23" t="s">
        <v>226</v>
      </c>
      <c r="AC23" s="8">
        <v>0.373</v>
      </c>
      <c r="AD23" s="26">
        <v>1.509345406851557</v>
      </c>
      <c r="AE23" s="26">
        <f t="shared" si="6"/>
        <v>0.1486443432544419</v>
      </c>
      <c r="AF23" s="26">
        <f t="shared" si="0"/>
        <v>0.2243556567455581</v>
      </c>
      <c r="AG23" s="47">
        <v>148</v>
      </c>
      <c r="AH23" s="26">
        <v>0.36170000000000002</v>
      </c>
      <c r="AI23" s="26">
        <f t="shared" si="1"/>
        <v>0.25895220729366603</v>
      </c>
      <c r="AJ23" s="26">
        <f t="shared" si="7"/>
        <v>258.95220729366605</v>
      </c>
      <c r="AK23" s="26">
        <f t="shared" si="8"/>
        <v>0.10319512275457128</v>
      </c>
      <c r="AL23" s="26">
        <v>0.98270000000000002</v>
      </c>
      <c r="AM23" s="26">
        <v>1.0781000000000001</v>
      </c>
      <c r="AN23" s="26">
        <f t="shared" si="9"/>
        <v>9.540000000000004E-2</v>
      </c>
      <c r="AO23" s="14">
        <v>0.97909999999999997</v>
      </c>
      <c r="AP23" s="77">
        <v>1.0266999999999999</v>
      </c>
      <c r="AQ23" s="26">
        <f t="shared" si="10"/>
        <v>4.7599999999999976E-2</v>
      </c>
    </row>
    <row r="24" spans="1:43" x14ac:dyDescent="0.3">
      <c r="A24" t="s">
        <v>7</v>
      </c>
      <c r="B24" t="s">
        <v>28</v>
      </c>
      <c r="C24" t="s">
        <v>131</v>
      </c>
      <c r="D24" t="s">
        <v>185</v>
      </c>
      <c r="E24" t="s">
        <v>234</v>
      </c>
      <c r="F24">
        <v>8</v>
      </c>
      <c r="G24" t="s">
        <v>225</v>
      </c>
      <c r="H24" s="8">
        <v>0.34720000000000001</v>
      </c>
      <c r="I24" s="8">
        <f t="shared" si="2"/>
        <v>347.2</v>
      </c>
      <c r="J24" s="25">
        <f t="shared" ref="J24" si="14">J23</f>
        <v>1.5656928467890334</v>
      </c>
      <c r="K24" s="25">
        <f t="shared" si="11"/>
        <v>0.135324070624635</v>
      </c>
      <c r="L24" s="25">
        <f t="shared" si="3"/>
        <v>0.21187592937536498</v>
      </c>
      <c r="M24" s="47">
        <v>150</v>
      </c>
      <c r="N24" s="26">
        <v>0.97889999999999999</v>
      </c>
      <c r="O24">
        <v>1.0712999999999999</v>
      </c>
      <c r="P24" s="26">
        <f t="shared" si="4"/>
        <v>9.2399999999999927E-2</v>
      </c>
      <c r="Q24" s="14">
        <v>0.98250000000000004</v>
      </c>
      <c r="R24" s="77">
        <v>1.0297000000000001</v>
      </c>
      <c r="S24" s="26">
        <f t="shared" si="5"/>
        <v>4.720000000000002E-2</v>
      </c>
      <c r="V24" t="s">
        <v>48</v>
      </c>
      <c r="W24" t="s">
        <v>69</v>
      </c>
      <c r="X24" t="s">
        <v>159</v>
      </c>
      <c r="Y24" t="s">
        <v>186</v>
      </c>
      <c r="Z24" t="s">
        <v>198</v>
      </c>
      <c r="AA24">
        <v>64</v>
      </c>
      <c r="AB24" t="s">
        <v>225</v>
      </c>
      <c r="AC24" s="8">
        <v>0.36399999999999999</v>
      </c>
      <c r="AD24" s="26">
        <v>1.509345406851557</v>
      </c>
      <c r="AE24" s="26">
        <f t="shared" si="6"/>
        <v>0.14505775052176098</v>
      </c>
      <c r="AF24" s="26">
        <f t="shared" si="0"/>
        <v>0.21894224947823898</v>
      </c>
      <c r="AG24" s="47">
        <v>134</v>
      </c>
      <c r="AH24" s="26">
        <v>0.35060000000000002</v>
      </c>
      <c r="AI24" s="26">
        <f t="shared" si="1"/>
        <v>0.25626184738955826</v>
      </c>
      <c r="AJ24" s="26">
        <f t="shared" si="7"/>
        <v>256.26184738955828</v>
      </c>
      <c r="AK24" s="26">
        <f t="shared" si="8"/>
        <v>0.10212298661230805</v>
      </c>
      <c r="AL24" s="26">
        <v>0.98029999999999995</v>
      </c>
      <c r="AM24" s="26">
        <v>1.0763</v>
      </c>
      <c r="AN24" s="26">
        <f t="shared" si="9"/>
        <v>9.6000000000000085E-2</v>
      </c>
      <c r="AO24" s="14">
        <v>0.97940000000000005</v>
      </c>
      <c r="AP24" s="77">
        <v>1.0271999999999999</v>
      </c>
      <c r="AQ24" s="26">
        <f t="shared" si="10"/>
        <v>4.7799999999999843E-2</v>
      </c>
    </row>
    <row r="25" spans="1:43" x14ac:dyDescent="0.3">
      <c r="A25" t="s">
        <v>8</v>
      </c>
      <c r="B25" t="s">
        <v>29</v>
      </c>
      <c r="C25" t="s">
        <v>132</v>
      </c>
      <c r="D25" t="s">
        <v>185</v>
      </c>
      <c r="E25" t="s">
        <v>132</v>
      </c>
      <c r="F25">
        <v>9</v>
      </c>
      <c r="G25" t="s">
        <v>226</v>
      </c>
      <c r="H25" s="8">
        <v>0.34939999999999999</v>
      </c>
      <c r="I25" s="8">
        <f t="shared" si="2"/>
        <v>349.4</v>
      </c>
      <c r="J25" s="25">
        <f>'3_Pre-incubation'!K16</f>
        <v>1.5108375068999622</v>
      </c>
      <c r="K25" s="25">
        <f t="shared" si="11"/>
        <v>0.13915675508264616</v>
      </c>
      <c r="L25" s="25">
        <f t="shared" si="3"/>
        <v>0.21024324491735377</v>
      </c>
      <c r="M25" s="47">
        <v>150</v>
      </c>
      <c r="N25" s="26">
        <v>0.98109999999999997</v>
      </c>
      <c r="O25">
        <v>1.0745</v>
      </c>
      <c r="P25" s="26">
        <f t="shared" si="4"/>
        <v>9.3400000000000039E-2</v>
      </c>
      <c r="Q25" s="14">
        <v>0.98599999999999999</v>
      </c>
      <c r="R25" s="77">
        <v>1.0326</v>
      </c>
      <c r="S25" s="26">
        <f t="shared" si="5"/>
        <v>4.6599999999999975E-2</v>
      </c>
      <c r="V25" t="s">
        <v>49</v>
      </c>
      <c r="W25" t="s">
        <v>70</v>
      </c>
      <c r="X25" t="s">
        <v>160</v>
      </c>
      <c r="Y25" t="s">
        <v>186</v>
      </c>
      <c r="Z25" t="s">
        <v>160</v>
      </c>
      <c r="AA25">
        <v>65</v>
      </c>
      <c r="AB25" t="s">
        <v>226</v>
      </c>
      <c r="AC25" s="8">
        <v>0.36420000000000002</v>
      </c>
      <c r="AD25" s="26">
        <v>1.5172987241531011</v>
      </c>
      <c r="AE25" s="26">
        <f t="shared" si="6"/>
        <v>0.14467889587578781</v>
      </c>
      <c r="AF25" s="26">
        <f t="shared" si="0"/>
        <v>0.21952110412421219</v>
      </c>
      <c r="AG25" s="47">
        <v>151</v>
      </c>
      <c r="AH25" s="26">
        <v>0.39829999999999999</v>
      </c>
      <c r="AI25" s="26">
        <f t="shared" si="1"/>
        <v>0.28156222826086957</v>
      </c>
      <c r="AJ25" s="26">
        <f t="shared" si="7"/>
        <v>281.56222826086957</v>
      </c>
      <c r="AK25" s="26">
        <f t="shared" si="8"/>
        <v>0.11185093988223269</v>
      </c>
      <c r="AL25" s="26">
        <v>0.9798</v>
      </c>
      <c r="AM25" s="26">
        <v>1.0751999999999999</v>
      </c>
      <c r="AN25" s="26">
        <f t="shared" si="9"/>
        <v>9.5399999999999929E-2</v>
      </c>
      <c r="AO25" s="14">
        <v>0.98570000000000002</v>
      </c>
      <c r="AP25" s="77">
        <v>1.0330999999999999</v>
      </c>
      <c r="AQ25" s="26">
        <f t="shared" si="10"/>
        <v>4.7399999999999887E-2</v>
      </c>
    </row>
    <row r="26" spans="1:43" x14ac:dyDescent="0.3">
      <c r="A26" t="s">
        <v>8</v>
      </c>
      <c r="B26" t="s">
        <v>29</v>
      </c>
      <c r="C26" t="s">
        <v>132</v>
      </c>
      <c r="D26" t="s">
        <v>185</v>
      </c>
      <c r="E26" t="s">
        <v>235</v>
      </c>
      <c r="F26">
        <v>10</v>
      </c>
      <c r="G26" t="s">
        <v>225</v>
      </c>
      <c r="H26" s="8">
        <v>0.3533</v>
      </c>
      <c r="I26" s="8">
        <f t="shared" si="2"/>
        <v>353.3</v>
      </c>
      <c r="J26" s="25">
        <f t="shared" ref="J26" si="15">J25</f>
        <v>1.5108375068999622</v>
      </c>
      <c r="K26" s="25">
        <f t="shared" si="11"/>
        <v>0.14071002166771293</v>
      </c>
      <c r="L26" s="25">
        <f t="shared" si="3"/>
        <v>0.21258997833228707</v>
      </c>
      <c r="M26" s="47">
        <v>150</v>
      </c>
      <c r="N26" s="26">
        <v>0.98080000000000001</v>
      </c>
      <c r="O26">
        <v>1.0740000000000001</v>
      </c>
      <c r="P26" s="26">
        <f t="shared" si="4"/>
        <v>9.3200000000000061E-2</v>
      </c>
      <c r="Q26" s="14">
        <v>0.98199999999999998</v>
      </c>
      <c r="R26" s="77">
        <v>1.0302</v>
      </c>
      <c r="S26" s="26">
        <f t="shared" si="5"/>
        <v>4.8200000000000021E-2</v>
      </c>
      <c r="V26" t="s">
        <v>49</v>
      </c>
      <c r="W26" t="s">
        <v>70</v>
      </c>
      <c r="X26" t="s">
        <v>160</v>
      </c>
      <c r="Y26" t="s">
        <v>186</v>
      </c>
      <c r="Z26" t="s">
        <v>199</v>
      </c>
      <c r="AA26">
        <v>66</v>
      </c>
      <c r="AB26" t="s">
        <v>225</v>
      </c>
      <c r="AC26" s="8">
        <f>0.3767-0.0106</f>
        <v>0.36609999999999998</v>
      </c>
      <c r="AD26" s="26">
        <v>1.5172987241531011</v>
      </c>
      <c r="AE26" s="26">
        <f t="shared" si="6"/>
        <v>0.14543367320188333</v>
      </c>
      <c r="AF26" s="26">
        <f t="shared" si="0"/>
        <v>0.22066632679811662</v>
      </c>
      <c r="AG26" s="47">
        <v>130</v>
      </c>
      <c r="AH26" s="26">
        <v>0.41949999999999998</v>
      </c>
      <c r="AI26" s="26">
        <f t="shared" si="1"/>
        <v>0.30957256601491634</v>
      </c>
      <c r="AJ26" s="26">
        <f t="shared" si="7"/>
        <v>309.57256601491633</v>
      </c>
      <c r="AK26" s="26">
        <f t="shared" si="8"/>
        <v>0.12297808084698661</v>
      </c>
      <c r="AL26" s="26">
        <v>0.98499999999999999</v>
      </c>
      <c r="AM26" s="26">
        <v>1.0794999999999999</v>
      </c>
      <c r="AN26" s="26">
        <f t="shared" si="9"/>
        <v>9.4499999999999917E-2</v>
      </c>
      <c r="AO26" s="14">
        <v>0.97270000000000001</v>
      </c>
      <c r="AP26" s="77">
        <v>1.0195000000000001</v>
      </c>
      <c r="AQ26" s="26">
        <f t="shared" si="10"/>
        <v>4.6800000000000064E-2</v>
      </c>
    </row>
    <row r="27" spans="1:43" x14ac:dyDescent="0.3">
      <c r="A27" t="s">
        <v>9</v>
      </c>
      <c r="B27" t="s">
        <v>40</v>
      </c>
      <c r="C27" t="s">
        <v>133</v>
      </c>
      <c r="D27" t="s">
        <v>185</v>
      </c>
      <c r="E27" t="s">
        <v>133</v>
      </c>
      <c r="F27">
        <v>11</v>
      </c>
      <c r="G27" t="s">
        <v>226</v>
      </c>
      <c r="H27" s="8">
        <v>0.35589999999999999</v>
      </c>
      <c r="I27" s="8">
        <f t="shared" si="2"/>
        <v>355.9</v>
      </c>
      <c r="J27" s="25">
        <f>'3_Pre-incubation'!K17</f>
        <v>1.5079123646674035</v>
      </c>
      <c r="K27" s="25">
        <f t="shared" si="11"/>
        <v>0.14191085981076498</v>
      </c>
      <c r="L27" s="25">
        <f t="shared" si="3"/>
        <v>0.21398914018923504</v>
      </c>
      <c r="M27" s="47">
        <v>150</v>
      </c>
      <c r="N27" s="26">
        <v>0.98370000000000002</v>
      </c>
      <c r="O27">
        <v>1.0744</v>
      </c>
      <c r="P27" s="26">
        <f t="shared" si="4"/>
        <v>9.0700000000000003E-2</v>
      </c>
      <c r="Q27" s="14">
        <v>0.97319999999999995</v>
      </c>
      <c r="R27" s="77">
        <v>1.0193000000000001</v>
      </c>
      <c r="S27" s="26">
        <f t="shared" si="5"/>
        <v>4.6100000000000141E-2</v>
      </c>
      <c r="V27" t="s">
        <v>50</v>
      </c>
      <c r="W27" t="s">
        <v>71</v>
      </c>
      <c r="X27" t="s">
        <v>161</v>
      </c>
      <c r="Y27" t="s">
        <v>186</v>
      </c>
      <c r="Z27" t="s">
        <v>161</v>
      </c>
      <c r="AA27">
        <v>67</v>
      </c>
      <c r="AB27" t="s">
        <v>226</v>
      </c>
      <c r="AC27" s="8">
        <v>0.37209999999999999</v>
      </c>
      <c r="AD27" s="26">
        <v>2.5447385182170397</v>
      </c>
      <c r="AE27" s="26">
        <f t="shared" si="6"/>
        <v>0.10497248191586266</v>
      </c>
      <c r="AF27" s="26">
        <f t="shared" si="0"/>
        <v>0.26712751808413732</v>
      </c>
      <c r="AG27" s="47">
        <v>148</v>
      </c>
      <c r="AH27" s="26">
        <v>0.41260000000000002</v>
      </c>
      <c r="AI27" s="26">
        <f t="shared" si="1"/>
        <v>0.29519027110171125</v>
      </c>
      <c r="AJ27" s="26">
        <f t="shared" si="7"/>
        <v>295.19027110171123</v>
      </c>
      <c r="AK27" s="26">
        <f t="shared" si="8"/>
        <v>8.3275612456229456E-2</v>
      </c>
      <c r="AL27" s="26">
        <v>0.98570000000000002</v>
      </c>
      <c r="AM27" s="26">
        <v>1.0797000000000001</v>
      </c>
      <c r="AN27" s="26">
        <f t="shared" si="9"/>
        <v>9.4000000000000083E-2</v>
      </c>
      <c r="AO27" s="14">
        <v>0.98240000000000005</v>
      </c>
      <c r="AP27" s="77">
        <v>1.0294000000000001</v>
      </c>
      <c r="AQ27" s="26">
        <f t="shared" si="10"/>
        <v>4.7000000000000042E-2</v>
      </c>
    </row>
    <row r="28" spans="1:43" x14ac:dyDescent="0.3">
      <c r="A28" t="s">
        <v>9</v>
      </c>
      <c r="B28" t="s">
        <v>40</v>
      </c>
      <c r="C28" t="s">
        <v>133</v>
      </c>
      <c r="D28" t="s">
        <v>185</v>
      </c>
      <c r="E28" t="s">
        <v>236</v>
      </c>
      <c r="F28">
        <v>12</v>
      </c>
      <c r="G28" t="s">
        <v>225</v>
      </c>
      <c r="H28" s="8">
        <v>0.35220000000000001</v>
      </c>
      <c r="I28" s="8">
        <f t="shared" si="2"/>
        <v>352.2</v>
      </c>
      <c r="J28" s="25">
        <f t="shared" ref="J28" si="16">J27</f>
        <v>1.5079123646674035</v>
      </c>
      <c r="K28" s="25">
        <f t="shared" si="11"/>
        <v>0.14043552915243446</v>
      </c>
      <c r="L28" s="25">
        <f t="shared" si="3"/>
        <v>0.21176447084756553</v>
      </c>
      <c r="M28" s="47">
        <v>150</v>
      </c>
      <c r="N28" s="26">
        <v>0.98350000000000004</v>
      </c>
      <c r="O28">
        <v>1.0733999999999999</v>
      </c>
      <c r="P28" s="26">
        <f t="shared" si="4"/>
        <v>8.9899999999999869E-2</v>
      </c>
      <c r="Q28" s="14">
        <v>0.98009999999999997</v>
      </c>
      <c r="R28" s="77">
        <v>1.0293000000000001</v>
      </c>
      <c r="S28" s="26">
        <f t="shared" si="5"/>
        <v>4.9200000000000133E-2</v>
      </c>
      <c r="V28" t="s">
        <v>50</v>
      </c>
      <c r="W28" t="s">
        <v>71</v>
      </c>
      <c r="X28" t="s">
        <v>161</v>
      </c>
      <c r="Y28" t="s">
        <v>186</v>
      </c>
      <c r="Z28" t="s">
        <v>200</v>
      </c>
      <c r="AA28">
        <v>68</v>
      </c>
      <c r="AB28" t="s">
        <v>225</v>
      </c>
      <c r="AC28" s="8">
        <v>0.36899999999999999</v>
      </c>
      <c r="AD28" s="26">
        <v>2.5447385182170397</v>
      </c>
      <c r="AE28" s="26">
        <f t="shared" si="6"/>
        <v>0.10409794632344349</v>
      </c>
      <c r="AF28" s="26">
        <f t="shared" si="0"/>
        <v>0.2649020536765565</v>
      </c>
      <c r="AG28" s="47">
        <v>139</v>
      </c>
      <c r="AH28" s="26">
        <v>0.44540000000000002</v>
      </c>
      <c r="AI28" s="26">
        <f t="shared" si="1"/>
        <v>0.32352874015748034</v>
      </c>
      <c r="AJ28" s="26">
        <f t="shared" si="7"/>
        <v>323.52874015748034</v>
      </c>
      <c r="AK28" s="26">
        <f t="shared" si="8"/>
        <v>9.1270128528467984E-2</v>
      </c>
      <c r="AL28" s="26">
        <v>0.97670000000000001</v>
      </c>
      <c r="AM28" s="26">
        <v>1.0733999999999999</v>
      </c>
      <c r="AN28" s="26">
        <f t="shared" si="9"/>
        <v>9.6699999999999897E-2</v>
      </c>
      <c r="AO28" s="14">
        <v>0.97719999999999996</v>
      </c>
      <c r="AP28" s="77">
        <v>1.0247999999999999</v>
      </c>
      <c r="AQ28" s="26">
        <f t="shared" si="10"/>
        <v>4.7599999999999976E-2</v>
      </c>
    </row>
    <row r="29" spans="1:43" x14ac:dyDescent="0.3">
      <c r="A29" t="s">
        <v>10</v>
      </c>
      <c r="B29" t="s">
        <v>31</v>
      </c>
      <c r="C29" t="s">
        <v>134</v>
      </c>
      <c r="D29" t="s">
        <v>185</v>
      </c>
      <c r="E29" t="s">
        <v>134</v>
      </c>
      <c r="F29">
        <v>13</v>
      </c>
      <c r="G29" t="s">
        <v>226</v>
      </c>
      <c r="H29" s="8">
        <v>0.35439999999999999</v>
      </c>
      <c r="I29" s="8">
        <f t="shared" si="2"/>
        <v>354.4</v>
      </c>
      <c r="J29" s="25">
        <f>'3_Pre-incubation'!K18</f>
        <v>1.4988381072480601</v>
      </c>
      <c r="K29" s="25">
        <f t="shared" si="11"/>
        <v>0.14182591460088478</v>
      </c>
      <c r="L29" s="25">
        <f t="shared" si="3"/>
        <v>0.21257408539911515</v>
      </c>
      <c r="M29" s="47">
        <v>150</v>
      </c>
      <c r="N29" s="26">
        <v>0.98680000000000001</v>
      </c>
      <c r="O29">
        <v>1.0786</v>
      </c>
      <c r="P29" s="26">
        <f t="shared" si="4"/>
        <v>9.1799999999999993E-2</v>
      </c>
      <c r="Q29" s="14">
        <v>0.97819999999999996</v>
      </c>
      <c r="R29" s="77">
        <v>1.0235000000000001</v>
      </c>
      <c r="S29" s="26">
        <f t="shared" si="5"/>
        <v>4.5300000000000118E-2</v>
      </c>
      <c r="V29" t="s">
        <v>51</v>
      </c>
      <c r="W29" t="s">
        <v>72</v>
      </c>
      <c r="X29" t="s">
        <v>162</v>
      </c>
      <c r="Y29" t="s">
        <v>186</v>
      </c>
      <c r="Z29" t="s">
        <v>162</v>
      </c>
      <c r="AA29">
        <v>69</v>
      </c>
      <c r="AB29" t="s">
        <v>226</v>
      </c>
      <c r="AC29" s="8">
        <v>0.36899999999999999</v>
      </c>
      <c r="AD29" s="26">
        <v>1.5465137749347171</v>
      </c>
      <c r="AE29" s="26">
        <f t="shared" si="6"/>
        <v>0.14490398741685964</v>
      </c>
      <c r="AF29" s="26">
        <f t="shared" si="0"/>
        <v>0.22409601258314035</v>
      </c>
      <c r="AG29" s="47">
        <v>145</v>
      </c>
      <c r="AH29" s="26">
        <v>0.377</v>
      </c>
      <c r="AI29" s="26">
        <f t="shared" si="1"/>
        <v>0.27064785992217899</v>
      </c>
      <c r="AJ29" s="26">
        <f t="shared" si="7"/>
        <v>270.64785992217901</v>
      </c>
      <c r="AK29" s="26">
        <f t="shared" si="8"/>
        <v>0.10628171839719082</v>
      </c>
      <c r="AL29" s="26">
        <v>0.98170000000000002</v>
      </c>
      <c r="AM29" s="26">
        <v>1.0727</v>
      </c>
      <c r="AN29" s="26">
        <f t="shared" si="9"/>
        <v>9.099999999999997E-2</v>
      </c>
      <c r="AO29" s="14">
        <v>0.97929999999999995</v>
      </c>
      <c r="AP29" s="77">
        <v>1.022</v>
      </c>
      <c r="AQ29" s="26">
        <f t="shared" si="10"/>
        <v>4.2700000000000071E-2</v>
      </c>
    </row>
    <row r="30" spans="1:43" x14ac:dyDescent="0.3">
      <c r="A30" t="s">
        <v>10</v>
      </c>
      <c r="B30" t="s">
        <v>31</v>
      </c>
      <c r="C30" t="s">
        <v>134</v>
      </c>
      <c r="D30" t="s">
        <v>185</v>
      </c>
      <c r="E30" t="s">
        <v>237</v>
      </c>
      <c r="F30">
        <v>14</v>
      </c>
      <c r="G30" t="s">
        <v>225</v>
      </c>
      <c r="H30" s="8">
        <v>0.34539999999999998</v>
      </c>
      <c r="I30" s="8">
        <f t="shared" si="2"/>
        <v>345.4</v>
      </c>
      <c r="J30" s="25">
        <f t="shared" ref="J30" si="17">J29</f>
        <v>1.4988381072480601</v>
      </c>
      <c r="K30" s="25">
        <f t="shared" si="11"/>
        <v>0.13822424069736344</v>
      </c>
      <c r="L30" s="25">
        <f t="shared" si="3"/>
        <v>0.20717575930263651</v>
      </c>
      <c r="M30" s="47">
        <v>150</v>
      </c>
      <c r="N30" s="26">
        <v>0.98470000000000002</v>
      </c>
      <c r="O30">
        <v>1.0758000000000001</v>
      </c>
      <c r="P30" s="26">
        <f t="shared" si="4"/>
        <v>9.110000000000007E-2</v>
      </c>
      <c r="Q30" s="14">
        <v>0.97699999999999998</v>
      </c>
      <c r="R30" s="77">
        <v>1.0243</v>
      </c>
      <c r="S30" s="26">
        <f t="shared" si="5"/>
        <v>4.7300000000000009E-2</v>
      </c>
      <c r="V30" t="s">
        <v>51</v>
      </c>
      <c r="W30" t="s">
        <v>72</v>
      </c>
      <c r="X30" t="s">
        <v>162</v>
      </c>
      <c r="Y30" t="s">
        <v>186</v>
      </c>
      <c r="Z30" t="s">
        <v>201</v>
      </c>
      <c r="AA30">
        <v>70</v>
      </c>
      <c r="AB30" t="s">
        <v>225</v>
      </c>
      <c r="AC30" s="8">
        <v>0.35899999999999999</v>
      </c>
      <c r="AD30" s="26">
        <v>1.5465137749347171</v>
      </c>
      <c r="AE30" s="26">
        <f t="shared" si="6"/>
        <v>0.14097705008848946</v>
      </c>
      <c r="AF30" s="26">
        <f t="shared" si="0"/>
        <v>0.21802294991151053</v>
      </c>
      <c r="AG30" s="47">
        <v>140</v>
      </c>
      <c r="AH30" s="26">
        <v>0.38</v>
      </c>
      <c r="AI30" s="26">
        <f t="shared" si="1"/>
        <v>0.27338677354709418</v>
      </c>
      <c r="AJ30" s="26">
        <f t="shared" si="7"/>
        <v>273.38677354709415</v>
      </c>
      <c r="AK30" s="26">
        <f t="shared" si="8"/>
        <v>0.10735727261247693</v>
      </c>
      <c r="AL30" s="26">
        <v>0.9849</v>
      </c>
      <c r="AM30" s="26">
        <v>1.0765</v>
      </c>
      <c r="AN30" s="26">
        <f t="shared" si="9"/>
        <v>9.1600000000000015E-2</v>
      </c>
      <c r="AO30" s="14">
        <v>0.97899999999999998</v>
      </c>
      <c r="AP30" s="77">
        <v>1.0278</v>
      </c>
      <c r="AQ30" s="26">
        <f t="shared" si="10"/>
        <v>4.8800000000000066E-2</v>
      </c>
    </row>
    <row r="31" spans="1:43" x14ac:dyDescent="0.3">
      <c r="A31" t="s">
        <v>11</v>
      </c>
      <c r="B31" t="s">
        <v>32</v>
      </c>
      <c r="C31" t="s">
        <v>135</v>
      </c>
      <c r="D31" t="s">
        <v>185</v>
      </c>
      <c r="E31" t="s">
        <v>135</v>
      </c>
      <c r="F31">
        <v>15</v>
      </c>
      <c r="G31" t="s">
        <v>226</v>
      </c>
      <c r="H31" s="8">
        <v>0.3518</v>
      </c>
      <c r="I31" s="8">
        <f t="shared" si="2"/>
        <v>351.8</v>
      </c>
      <c r="J31" s="25">
        <f>'3_Pre-incubation'!K19</f>
        <v>1.568276475879389</v>
      </c>
      <c r="K31" s="25">
        <f t="shared" si="11"/>
        <v>0.13697902204222079</v>
      </c>
      <c r="L31" s="25">
        <f t="shared" si="3"/>
        <v>0.21482097795777916</v>
      </c>
      <c r="M31" s="47">
        <v>150</v>
      </c>
      <c r="N31" s="26">
        <v>0.98360000000000003</v>
      </c>
      <c r="O31">
        <v>1.0788</v>
      </c>
      <c r="P31" s="26">
        <f t="shared" si="4"/>
        <v>9.5199999999999951E-2</v>
      </c>
      <c r="Q31" s="14">
        <v>0.97650000000000003</v>
      </c>
      <c r="R31" s="77">
        <v>1.0238</v>
      </c>
      <c r="S31" s="26">
        <f t="shared" si="5"/>
        <v>4.7300000000000009E-2</v>
      </c>
      <c r="V31" t="s">
        <v>52</v>
      </c>
      <c r="W31" t="s">
        <v>73</v>
      </c>
      <c r="X31" t="s">
        <v>163</v>
      </c>
      <c r="Y31" t="s">
        <v>186</v>
      </c>
      <c r="Z31" t="s">
        <v>163</v>
      </c>
      <c r="AA31">
        <v>71</v>
      </c>
      <c r="AB31" t="s">
        <v>226</v>
      </c>
      <c r="AC31" s="8">
        <v>0.36899999999999999</v>
      </c>
      <c r="AD31" s="26">
        <v>1.5312291848132396</v>
      </c>
      <c r="AE31" s="26">
        <f t="shared" si="6"/>
        <v>0.14577897655965347</v>
      </c>
      <c r="AF31" s="26">
        <f t="shared" si="0"/>
        <v>0.22322102344034653</v>
      </c>
      <c r="AG31" s="47">
        <v>148</v>
      </c>
      <c r="AH31" s="26">
        <v>0.35630000000000001</v>
      </c>
      <c r="AI31" s="26">
        <f t="shared" si="1"/>
        <v>0.25430309477756285</v>
      </c>
      <c r="AJ31" s="26">
        <f t="shared" si="7"/>
        <v>254.30309477756285</v>
      </c>
      <c r="AK31" s="26">
        <f t="shared" si="8"/>
        <v>0.10046624632147878</v>
      </c>
      <c r="AL31" s="26">
        <v>0.98009999999999997</v>
      </c>
      <c r="AM31" s="26">
        <v>1.0729</v>
      </c>
      <c r="AN31" s="26">
        <f t="shared" si="9"/>
        <v>9.2799999999999994E-2</v>
      </c>
      <c r="AO31" s="14">
        <v>0.97940000000000005</v>
      </c>
      <c r="AP31" s="77">
        <v>1.0286999999999999</v>
      </c>
      <c r="AQ31" s="26">
        <f t="shared" si="10"/>
        <v>4.9299999999999899E-2</v>
      </c>
    </row>
    <row r="32" spans="1:43" x14ac:dyDescent="0.3">
      <c r="A32" t="s">
        <v>11</v>
      </c>
      <c r="B32" t="s">
        <v>32</v>
      </c>
      <c r="C32" t="s">
        <v>135</v>
      </c>
      <c r="D32" t="s">
        <v>185</v>
      </c>
      <c r="E32" t="s">
        <v>238</v>
      </c>
      <c r="F32">
        <v>16</v>
      </c>
      <c r="G32" t="s">
        <v>225</v>
      </c>
      <c r="H32" s="8">
        <v>0.34920000000000001</v>
      </c>
      <c r="I32" s="8">
        <f t="shared" si="2"/>
        <v>349.2</v>
      </c>
      <c r="J32" s="25">
        <f t="shared" ref="J32" si="18">J31</f>
        <v>1.568276475879389</v>
      </c>
      <c r="K32" s="25">
        <f t="shared" si="11"/>
        <v>0.13596666997482521</v>
      </c>
      <c r="L32" s="25">
        <f t="shared" si="3"/>
        <v>0.21323333002517481</v>
      </c>
      <c r="M32" s="47">
        <v>150</v>
      </c>
      <c r="N32" s="26">
        <v>0.98619999999999997</v>
      </c>
      <c r="O32">
        <v>1.0793999999999999</v>
      </c>
      <c r="P32" s="26">
        <f t="shared" si="4"/>
        <v>9.319999999999995E-2</v>
      </c>
      <c r="Q32" s="14">
        <v>0.98199999999999998</v>
      </c>
      <c r="R32" s="77">
        <v>1.0288999999999999</v>
      </c>
      <c r="S32" s="26">
        <f t="shared" si="5"/>
        <v>4.6899999999999942E-2</v>
      </c>
      <c r="V32" t="s">
        <v>52</v>
      </c>
      <c r="W32" t="s">
        <v>73</v>
      </c>
      <c r="X32" t="s">
        <v>163</v>
      </c>
      <c r="Y32" t="s">
        <v>186</v>
      </c>
      <c r="Z32" t="s">
        <v>202</v>
      </c>
      <c r="AA32">
        <v>72</v>
      </c>
      <c r="AB32" t="s">
        <v>225</v>
      </c>
      <c r="AC32" s="8">
        <f>0.373-0.0117</f>
        <v>0.36130000000000001</v>
      </c>
      <c r="AD32" s="26">
        <v>1.5312291848132396</v>
      </c>
      <c r="AE32" s="26">
        <f t="shared" si="6"/>
        <v>0.14273697623577994</v>
      </c>
      <c r="AF32" s="26">
        <f t="shared" si="0"/>
        <v>0.21856302376422007</v>
      </c>
      <c r="AG32" s="47">
        <v>140</v>
      </c>
      <c r="AH32" s="26">
        <v>0.375</v>
      </c>
      <c r="AI32" s="26">
        <f t="shared" si="1"/>
        <v>0.2702722920406942</v>
      </c>
      <c r="AJ32" s="26">
        <f t="shared" si="7"/>
        <v>270.2722920406942</v>
      </c>
      <c r="AK32" s="26">
        <f t="shared" si="8"/>
        <v>0.10677511687296525</v>
      </c>
      <c r="AL32" s="26">
        <v>0.98480000000000001</v>
      </c>
      <c r="AM32" s="26">
        <v>1.0775999999999999</v>
      </c>
      <c r="AN32" s="26">
        <f t="shared" si="9"/>
        <v>9.2799999999999883E-2</v>
      </c>
      <c r="AO32" s="14">
        <v>0.98429999999999995</v>
      </c>
      <c r="AP32" s="77">
        <v>1.0311999999999999</v>
      </c>
      <c r="AQ32" s="26">
        <f t="shared" si="10"/>
        <v>4.6899999999999942E-2</v>
      </c>
    </row>
    <row r="33" spans="1:43" x14ac:dyDescent="0.3">
      <c r="A33" t="s">
        <v>12</v>
      </c>
      <c r="B33" t="s">
        <v>33</v>
      </c>
      <c r="C33" t="s">
        <v>136</v>
      </c>
      <c r="D33" t="s">
        <v>185</v>
      </c>
      <c r="E33" t="s">
        <v>136</v>
      </c>
      <c r="F33">
        <v>17</v>
      </c>
      <c r="G33" t="s">
        <v>226</v>
      </c>
      <c r="H33" s="8">
        <v>0.34889999999999999</v>
      </c>
      <c r="I33" s="8">
        <f t="shared" si="2"/>
        <v>348.9</v>
      </c>
      <c r="J33" s="25">
        <f>'3_Pre-incubation'!K20</f>
        <v>1.5300946725861893</v>
      </c>
      <c r="K33" s="25">
        <f t="shared" si="11"/>
        <v>0.13789997812349231</v>
      </c>
      <c r="L33" s="25">
        <f t="shared" si="3"/>
        <v>0.21100002187650763</v>
      </c>
      <c r="M33" s="47">
        <v>150</v>
      </c>
      <c r="N33" s="26">
        <v>0.97770000000000001</v>
      </c>
      <c r="O33">
        <v>1.0711999999999999</v>
      </c>
      <c r="P33" s="26">
        <f t="shared" si="4"/>
        <v>9.3499999999999917E-2</v>
      </c>
      <c r="Q33" s="14">
        <v>0.97970000000000002</v>
      </c>
      <c r="R33" s="77">
        <v>1.0266999999999999</v>
      </c>
      <c r="S33" s="26">
        <f t="shared" si="5"/>
        <v>4.6999999999999931E-2</v>
      </c>
      <c r="V33" t="s">
        <v>53</v>
      </c>
      <c r="W33" t="s">
        <v>74</v>
      </c>
      <c r="X33" t="s">
        <v>164</v>
      </c>
      <c r="Y33" t="s">
        <v>186</v>
      </c>
      <c r="Z33" t="s">
        <v>164</v>
      </c>
      <c r="AA33">
        <v>73</v>
      </c>
      <c r="AB33" t="s">
        <v>226</v>
      </c>
      <c r="AC33" s="8">
        <v>0.3614</v>
      </c>
      <c r="AD33" s="26">
        <v>1.5484276729559747</v>
      </c>
      <c r="AE33" s="26">
        <f t="shared" si="6"/>
        <v>0.14181293188548866</v>
      </c>
      <c r="AF33" s="26">
        <f t="shared" si="0"/>
        <v>0.21958706811451134</v>
      </c>
      <c r="AG33" s="47">
        <v>168</v>
      </c>
      <c r="AH33" s="26">
        <v>0.35589999999999999</v>
      </c>
      <c r="AI33" s="26">
        <f t="shared" si="1"/>
        <v>0.24295855685681902</v>
      </c>
      <c r="AJ33" s="26">
        <f t="shared" si="7"/>
        <v>242.95855685681903</v>
      </c>
      <c r="AK33" s="26">
        <f t="shared" si="8"/>
        <v>9.5336649901861373E-2</v>
      </c>
      <c r="AL33" s="26">
        <v>0.97260000000000002</v>
      </c>
      <c r="AM33" s="26">
        <v>1.0682</v>
      </c>
      <c r="AN33" s="26">
        <f t="shared" si="9"/>
        <v>9.5600000000000018E-2</v>
      </c>
      <c r="AO33" s="14">
        <v>0.97919999999999996</v>
      </c>
      <c r="AP33" s="77">
        <v>1.0271999999999999</v>
      </c>
      <c r="AQ33" s="26">
        <f t="shared" si="10"/>
        <v>4.7999999999999932E-2</v>
      </c>
    </row>
    <row r="34" spans="1:43" x14ac:dyDescent="0.3">
      <c r="A34" t="s">
        <v>12</v>
      </c>
      <c r="B34" t="s">
        <v>33</v>
      </c>
      <c r="C34" t="s">
        <v>136</v>
      </c>
      <c r="D34" t="s">
        <v>185</v>
      </c>
      <c r="E34" t="s">
        <v>239</v>
      </c>
      <c r="F34">
        <v>18</v>
      </c>
      <c r="G34" t="s">
        <v>225</v>
      </c>
      <c r="H34" s="8">
        <v>0.3458</v>
      </c>
      <c r="I34" s="8">
        <f t="shared" si="2"/>
        <v>345.8</v>
      </c>
      <c r="J34" s="25">
        <f t="shared" ref="J34" si="19">J33</f>
        <v>1.5300946725861893</v>
      </c>
      <c r="K34" s="25">
        <f t="shared" si="11"/>
        <v>0.13667472752967511</v>
      </c>
      <c r="L34" s="25">
        <f t="shared" si="3"/>
        <v>0.20912527247032486</v>
      </c>
      <c r="M34" s="47">
        <v>150</v>
      </c>
      <c r="N34" s="26">
        <v>0.98070000000000002</v>
      </c>
      <c r="O34">
        <v>1.0758000000000001</v>
      </c>
      <c r="P34" s="26">
        <f t="shared" si="4"/>
        <v>9.5100000000000073E-2</v>
      </c>
      <c r="Q34" s="14">
        <v>0.97609999999999997</v>
      </c>
      <c r="R34" s="77">
        <v>1.0230999999999999</v>
      </c>
      <c r="S34" s="26">
        <f t="shared" si="5"/>
        <v>4.6999999999999931E-2</v>
      </c>
      <c r="V34" t="s">
        <v>53</v>
      </c>
      <c r="W34" t="s">
        <v>74</v>
      </c>
      <c r="X34" t="s">
        <v>164</v>
      </c>
      <c r="Y34" t="s">
        <v>186</v>
      </c>
      <c r="Z34" t="s">
        <v>203</v>
      </c>
      <c r="AA34">
        <v>74</v>
      </c>
      <c r="AB34" t="s">
        <v>225</v>
      </c>
      <c r="AC34" s="8">
        <f>0.3739-0.0094</f>
        <v>0.36449999999999999</v>
      </c>
      <c r="AD34" s="26">
        <v>1.5484276729559747</v>
      </c>
      <c r="AE34" s="26">
        <f t="shared" si="6"/>
        <v>0.14302936821322804</v>
      </c>
      <c r="AF34" s="26">
        <f t="shared" si="0"/>
        <v>0.22147063178677195</v>
      </c>
      <c r="AG34" s="47">
        <v>131</v>
      </c>
      <c r="AH34" s="26">
        <v>0.3906</v>
      </c>
      <c r="AI34" s="26">
        <f t="shared" si="1"/>
        <v>0.28733340060544904</v>
      </c>
      <c r="AJ34" s="26">
        <f t="shared" si="7"/>
        <v>287.33340060544901</v>
      </c>
      <c r="AK34" s="26">
        <f t="shared" si="8"/>
        <v>0.11274928602237512</v>
      </c>
      <c r="AL34" s="26">
        <v>0.98319999999999996</v>
      </c>
      <c r="AM34" s="26">
        <v>1.0788</v>
      </c>
      <c r="AN34" s="26">
        <f t="shared" si="9"/>
        <v>9.5600000000000018E-2</v>
      </c>
      <c r="AO34" s="14">
        <v>0.97970000000000002</v>
      </c>
      <c r="AP34" s="77">
        <v>1.0283</v>
      </c>
      <c r="AQ34" s="26">
        <f t="shared" si="10"/>
        <v>4.8599999999999977E-2</v>
      </c>
    </row>
    <row r="35" spans="1:43" x14ac:dyDescent="0.3">
      <c r="A35" t="s">
        <v>13</v>
      </c>
      <c r="B35" t="s">
        <v>34</v>
      </c>
      <c r="C35" t="s">
        <v>137</v>
      </c>
      <c r="D35" t="s">
        <v>185</v>
      </c>
      <c r="E35" t="s">
        <v>137</v>
      </c>
      <c r="F35">
        <v>19</v>
      </c>
      <c r="G35" t="s">
        <v>226</v>
      </c>
      <c r="H35" s="8">
        <v>0.35389999999999999</v>
      </c>
      <c r="I35" s="8">
        <f t="shared" si="2"/>
        <v>353.9</v>
      </c>
      <c r="J35" s="25">
        <f>'3_Pre-incubation'!K21</f>
        <v>1.4972164793004679</v>
      </c>
      <c r="K35" s="25">
        <f t="shared" si="11"/>
        <v>0.14171778976051613</v>
      </c>
      <c r="L35" s="25">
        <f t="shared" si="3"/>
        <v>0.21218221023948386</v>
      </c>
      <c r="M35" s="47">
        <v>150</v>
      </c>
      <c r="N35" s="26">
        <v>0.97360000000000002</v>
      </c>
      <c r="O35">
        <v>1.0671999999999999</v>
      </c>
      <c r="P35" s="26">
        <f t="shared" si="4"/>
        <v>9.3599999999999905E-2</v>
      </c>
      <c r="Q35" s="14">
        <v>0.98240000000000005</v>
      </c>
      <c r="R35" s="77">
        <v>1.0293000000000001</v>
      </c>
      <c r="S35" s="26">
        <f t="shared" si="5"/>
        <v>4.6900000000000053E-2</v>
      </c>
      <c r="V35" t="s">
        <v>54</v>
      </c>
      <c r="W35" t="s">
        <v>75</v>
      </c>
      <c r="X35" t="s">
        <v>165</v>
      </c>
      <c r="Y35" t="s">
        <v>186</v>
      </c>
      <c r="Z35" t="s">
        <v>165</v>
      </c>
      <c r="AA35">
        <v>75</v>
      </c>
      <c r="AB35" t="s">
        <v>226</v>
      </c>
      <c r="AC35" s="8">
        <f>0.3824-0.0207</f>
        <v>0.36170000000000002</v>
      </c>
      <c r="AD35" s="26">
        <v>1.550466749708395</v>
      </c>
      <c r="AE35" s="26">
        <f t="shared" si="6"/>
        <v>0.14181717916587411</v>
      </c>
      <c r="AF35" s="26">
        <f t="shared" si="0"/>
        <v>0.21988282083412594</v>
      </c>
      <c r="AG35" s="47">
        <v>139</v>
      </c>
      <c r="AH35" s="26">
        <v>0.38419999999999999</v>
      </c>
      <c r="AI35" s="26">
        <f t="shared" si="1"/>
        <v>0.2775417215897743</v>
      </c>
      <c r="AJ35" s="26">
        <f t="shared" si="7"/>
        <v>277.54172158977428</v>
      </c>
      <c r="AK35" s="26">
        <f t="shared" si="8"/>
        <v>0.10881997250954428</v>
      </c>
      <c r="AL35" s="26">
        <v>0.98509999999999998</v>
      </c>
      <c r="AM35" s="26">
        <v>1.0806</v>
      </c>
      <c r="AN35" s="26">
        <f t="shared" si="9"/>
        <v>9.5500000000000029E-2</v>
      </c>
      <c r="AO35" s="14">
        <v>0.98350000000000004</v>
      </c>
      <c r="AP35" s="77">
        <v>1.0317000000000001</v>
      </c>
      <c r="AQ35" s="26">
        <f t="shared" si="10"/>
        <v>4.8200000000000021E-2</v>
      </c>
    </row>
    <row r="36" spans="1:43" x14ac:dyDescent="0.3">
      <c r="A36" t="s">
        <v>13</v>
      </c>
      <c r="B36" t="s">
        <v>34</v>
      </c>
      <c r="C36" t="s">
        <v>137</v>
      </c>
      <c r="D36" t="s">
        <v>185</v>
      </c>
      <c r="E36" t="s">
        <v>240</v>
      </c>
      <c r="F36">
        <v>20</v>
      </c>
      <c r="G36" t="s">
        <v>225</v>
      </c>
      <c r="H36" s="8">
        <v>0.34949999999999998</v>
      </c>
      <c r="I36" s="8">
        <f t="shared" si="2"/>
        <v>349.5</v>
      </c>
      <c r="J36" s="25">
        <f t="shared" ref="J36" si="20">J35</f>
        <v>1.4972164793004679</v>
      </c>
      <c r="K36" s="25">
        <f t="shared" si="11"/>
        <v>0.13995582797767842</v>
      </c>
      <c r="L36" s="25">
        <f t="shared" si="3"/>
        <v>0.20954417202232159</v>
      </c>
      <c r="M36" s="47">
        <v>150</v>
      </c>
      <c r="N36" s="26">
        <v>0.98060000000000003</v>
      </c>
      <c r="O36">
        <v>1.0736000000000001</v>
      </c>
      <c r="P36" s="26">
        <f t="shared" si="4"/>
        <v>9.3000000000000083E-2</v>
      </c>
      <c r="Q36" s="14">
        <v>0.98299999999999998</v>
      </c>
      <c r="R36" s="77">
        <v>1.0307999999999999</v>
      </c>
      <c r="S36" s="26">
        <f t="shared" si="5"/>
        <v>4.7799999999999954E-2</v>
      </c>
      <c r="V36" t="s">
        <v>54</v>
      </c>
      <c r="W36" t="s">
        <v>75</v>
      </c>
      <c r="X36" t="s">
        <v>165</v>
      </c>
      <c r="Y36" t="s">
        <v>186</v>
      </c>
      <c r="Z36" t="s">
        <v>204</v>
      </c>
      <c r="AA36">
        <v>76</v>
      </c>
      <c r="AB36" t="s">
        <v>225</v>
      </c>
      <c r="AC36" s="8">
        <v>0.35510000000000003</v>
      </c>
      <c r="AD36" s="26">
        <v>1.550466749708395</v>
      </c>
      <c r="AE36" s="26">
        <f t="shared" si="6"/>
        <v>0.13922941753332013</v>
      </c>
      <c r="AF36" s="26">
        <f t="shared" si="0"/>
        <v>0.21587058246667989</v>
      </c>
      <c r="AG36" s="47">
        <v>141</v>
      </c>
      <c r="AH36" s="26">
        <v>0.36230000000000001</v>
      </c>
      <c r="AI36" s="26">
        <f t="shared" si="1"/>
        <v>0.25932822011691192</v>
      </c>
      <c r="AJ36" s="26">
        <f t="shared" si="7"/>
        <v>259.32822011691195</v>
      </c>
      <c r="AK36" s="26">
        <f t="shared" si="8"/>
        <v>0.10167873003894755</v>
      </c>
      <c r="AL36" s="26">
        <v>0.98180000000000001</v>
      </c>
      <c r="AM36" s="26">
        <v>1.0766</v>
      </c>
      <c r="AN36" s="26">
        <f t="shared" si="9"/>
        <v>9.4799999999999995E-2</v>
      </c>
      <c r="AO36" s="14">
        <v>0.98219999999999996</v>
      </c>
      <c r="AP36" s="77">
        <v>1.0310999999999999</v>
      </c>
      <c r="AQ36" s="26">
        <f t="shared" si="10"/>
        <v>4.8899999999999944E-2</v>
      </c>
    </row>
    <row r="37" spans="1:43" x14ac:dyDescent="0.3">
      <c r="A37" t="s">
        <v>14</v>
      </c>
      <c r="B37" t="s">
        <v>35</v>
      </c>
      <c r="C37" t="s">
        <v>138</v>
      </c>
      <c r="D37" t="s">
        <v>185</v>
      </c>
      <c r="E37" t="s">
        <v>138</v>
      </c>
      <c r="F37">
        <v>21</v>
      </c>
      <c r="G37" t="s">
        <v>226</v>
      </c>
      <c r="H37" s="8">
        <v>0.34810000000000002</v>
      </c>
      <c r="I37" s="8">
        <f t="shared" si="2"/>
        <v>348.1</v>
      </c>
      <c r="J37" s="25">
        <f>'3_Pre-incubation'!K22</f>
        <v>1.5136847373382352</v>
      </c>
      <c r="K37" s="25">
        <f t="shared" si="11"/>
        <v>0.13848196427711393</v>
      </c>
      <c r="L37" s="25">
        <f t="shared" si="3"/>
        <v>0.20961803572288606</v>
      </c>
      <c r="M37" s="47">
        <v>150</v>
      </c>
      <c r="N37" s="26">
        <v>0.98099999999999998</v>
      </c>
      <c r="O37">
        <v>1.0749</v>
      </c>
      <c r="P37" s="26">
        <f t="shared" si="4"/>
        <v>9.3899999999999983E-2</v>
      </c>
      <c r="Q37" s="14">
        <v>0.98109999999999997</v>
      </c>
      <c r="R37" s="77">
        <v>1.0279</v>
      </c>
      <c r="S37" s="26">
        <f t="shared" si="5"/>
        <v>4.6800000000000064E-2</v>
      </c>
      <c r="V37" t="s">
        <v>55</v>
      </c>
      <c r="W37" t="s">
        <v>76</v>
      </c>
      <c r="X37" t="s">
        <v>166</v>
      </c>
      <c r="Y37" t="s">
        <v>186</v>
      </c>
      <c r="Z37" t="s">
        <v>166</v>
      </c>
      <c r="AA37">
        <v>77</v>
      </c>
      <c r="AB37" t="s">
        <v>226</v>
      </c>
      <c r="AC37" s="8">
        <f>0.3886-0.0272</f>
        <v>0.3614</v>
      </c>
      <c r="AD37" s="26">
        <v>2.5198050021195422</v>
      </c>
      <c r="AE37" s="26">
        <f t="shared" si="6"/>
        <v>0.10267614250856896</v>
      </c>
      <c r="AF37" s="26">
        <f t="shared" si="0"/>
        <v>0.25872385749143101</v>
      </c>
      <c r="AG37" s="47">
        <v>153</v>
      </c>
      <c r="AH37" s="26">
        <v>0.37709999999999999</v>
      </c>
      <c r="AI37" s="26">
        <f t="shared" si="1"/>
        <v>0.26493767496111975</v>
      </c>
      <c r="AJ37" s="26">
        <f t="shared" si="7"/>
        <v>264.93767496111974</v>
      </c>
      <c r="AK37" s="26">
        <f t="shared" si="8"/>
        <v>7.5270554704473872E-2</v>
      </c>
      <c r="AL37" s="26">
        <v>0.9778</v>
      </c>
      <c r="AM37" s="26">
        <v>1.0733999999999999</v>
      </c>
      <c r="AN37" s="26">
        <f t="shared" si="9"/>
        <v>9.5599999999999907E-2</v>
      </c>
      <c r="AO37" s="14">
        <v>0.98550000000000004</v>
      </c>
      <c r="AP37" s="77">
        <v>1.0353000000000001</v>
      </c>
      <c r="AQ37" s="26">
        <f t="shared" si="10"/>
        <v>4.9800000000000066E-2</v>
      </c>
    </row>
    <row r="38" spans="1:43" x14ac:dyDescent="0.3">
      <c r="A38" t="s">
        <v>14</v>
      </c>
      <c r="B38" t="s">
        <v>35</v>
      </c>
      <c r="C38" t="s">
        <v>138</v>
      </c>
      <c r="D38" t="s">
        <v>185</v>
      </c>
      <c r="E38" t="s">
        <v>241</v>
      </c>
      <c r="F38">
        <v>22</v>
      </c>
      <c r="G38" t="s">
        <v>225</v>
      </c>
      <c r="H38" s="8">
        <v>0.35610000000000003</v>
      </c>
      <c r="I38" s="8">
        <f t="shared" si="2"/>
        <v>356.1</v>
      </c>
      <c r="J38" s="25">
        <f t="shared" ref="J38" si="21">J37</f>
        <v>1.5136847373382352</v>
      </c>
      <c r="K38" s="25">
        <f t="shared" si="11"/>
        <v>0.14166454317460578</v>
      </c>
      <c r="L38" s="25">
        <f t="shared" si="3"/>
        <v>0.21443545682539422</v>
      </c>
      <c r="M38" s="47">
        <v>150</v>
      </c>
      <c r="N38" s="26">
        <v>0.97809999999999997</v>
      </c>
      <c r="O38">
        <v>1.0767</v>
      </c>
      <c r="P38" s="26">
        <f t="shared" si="4"/>
        <v>9.8600000000000021E-2</v>
      </c>
      <c r="Q38" s="14">
        <v>0.98219999999999996</v>
      </c>
      <c r="R38" s="77">
        <v>1.0293000000000001</v>
      </c>
      <c r="S38" s="26">
        <f t="shared" si="5"/>
        <v>4.7100000000000142E-2</v>
      </c>
      <c r="V38" t="s">
        <v>55</v>
      </c>
      <c r="W38" t="s">
        <v>76</v>
      </c>
      <c r="X38" t="s">
        <v>166</v>
      </c>
      <c r="Y38" t="s">
        <v>186</v>
      </c>
      <c r="Z38" t="s">
        <v>205</v>
      </c>
      <c r="AA38">
        <v>78</v>
      </c>
      <c r="AB38" t="s">
        <v>225</v>
      </c>
      <c r="AC38" s="8">
        <f>0.3746-0.0118</f>
        <v>0.36280000000000001</v>
      </c>
      <c r="AD38" s="26">
        <v>2.5198050021195422</v>
      </c>
      <c r="AE38" s="26">
        <f t="shared" si="6"/>
        <v>0.10307389181546436</v>
      </c>
      <c r="AF38" s="26">
        <f t="shared" si="0"/>
        <v>0.25972610818453562</v>
      </c>
      <c r="AG38" s="47">
        <v>160</v>
      </c>
      <c r="AH38" s="26">
        <v>0.36659999999999998</v>
      </c>
      <c r="AI38" s="26">
        <f t="shared" si="1"/>
        <v>0.25440413159908187</v>
      </c>
      <c r="AJ38" s="26">
        <f t="shared" si="7"/>
        <v>254.40413159908186</v>
      </c>
      <c r="AK38" s="26">
        <f t="shared" si="8"/>
        <v>7.2277905010614457E-2</v>
      </c>
      <c r="AL38" s="26">
        <v>0.98150000000000004</v>
      </c>
      <c r="AM38" s="26">
        <v>1.077</v>
      </c>
      <c r="AN38" s="26">
        <f t="shared" si="9"/>
        <v>9.5499999999999918E-2</v>
      </c>
      <c r="AO38" s="14">
        <v>0.98060000000000003</v>
      </c>
      <c r="AP38" s="77">
        <v>1.0288999999999999</v>
      </c>
      <c r="AQ38" s="26">
        <f t="shared" si="10"/>
        <v>4.8299999999999899E-2</v>
      </c>
    </row>
    <row r="39" spans="1:43" x14ac:dyDescent="0.3">
      <c r="A39" t="s">
        <v>15</v>
      </c>
      <c r="B39" t="s">
        <v>36</v>
      </c>
      <c r="C39" t="s">
        <v>139</v>
      </c>
      <c r="D39" t="s">
        <v>185</v>
      </c>
      <c r="E39" t="s">
        <v>139</v>
      </c>
      <c r="F39">
        <v>23</v>
      </c>
      <c r="G39" t="s">
        <v>226</v>
      </c>
      <c r="H39" s="8">
        <v>0.3523</v>
      </c>
      <c r="I39" s="8">
        <f t="shared" si="2"/>
        <v>352.3</v>
      </c>
      <c r="J39" s="25">
        <f>'3_Pre-incubation'!K23</f>
        <v>1.5060919106331294</v>
      </c>
      <c r="K39" s="25">
        <f t="shared" si="11"/>
        <v>0.14057744590500526</v>
      </c>
      <c r="L39" s="25">
        <f t="shared" si="3"/>
        <v>0.21172255409499477</v>
      </c>
      <c r="M39" s="47">
        <v>150</v>
      </c>
      <c r="N39" s="26">
        <v>0.98209999999999997</v>
      </c>
      <c r="O39">
        <v>1.0737000000000001</v>
      </c>
      <c r="P39" s="26">
        <f t="shared" si="4"/>
        <v>9.1600000000000126E-2</v>
      </c>
      <c r="Q39" s="14">
        <v>0.97570000000000001</v>
      </c>
      <c r="R39" s="77">
        <v>1.0223</v>
      </c>
      <c r="S39" s="26">
        <f t="shared" si="5"/>
        <v>4.6599999999999975E-2</v>
      </c>
      <c r="V39" t="s">
        <v>56</v>
      </c>
      <c r="W39" t="s">
        <v>77</v>
      </c>
      <c r="X39" t="s">
        <v>167</v>
      </c>
      <c r="Y39" t="s">
        <v>186</v>
      </c>
      <c r="Z39" t="s">
        <v>167</v>
      </c>
      <c r="AA39">
        <v>79</v>
      </c>
      <c r="AB39" t="s">
        <v>226</v>
      </c>
      <c r="AC39" s="8">
        <f>0.3874-0.0238</f>
        <v>0.36360000000000003</v>
      </c>
      <c r="AD39" s="26">
        <v>1.5365613296774452</v>
      </c>
      <c r="AE39" s="26">
        <f t="shared" si="6"/>
        <v>0.14334366598825199</v>
      </c>
      <c r="AF39" s="26">
        <f t="shared" si="0"/>
        <v>0.22025633401174805</v>
      </c>
      <c r="AG39" s="47">
        <v>151</v>
      </c>
      <c r="AH39" s="26">
        <v>0.37480000000000002</v>
      </c>
      <c r="AI39" s="26">
        <f t="shared" si="1"/>
        <v>0.26482176447726391</v>
      </c>
      <c r="AJ39" s="26">
        <f t="shared" si="7"/>
        <v>264.82176447726391</v>
      </c>
      <c r="AK39" s="26">
        <f t="shared" si="8"/>
        <v>0.10440187721025426</v>
      </c>
      <c r="AL39" s="26">
        <v>0.98640000000000005</v>
      </c>
      <c r="AM39" s="26">
        <v>1.0804</v>
      </c>
      <c r="AN39" s="26">
        <f t="shared" si="9"/>
        <v>9.3999999999999972E-2</v>
      </c>
      <c r="AO39" s="14">
        <v>0.97489999999999999</v>
      </c>
      <c r="AP39" s="77">
        <v>1.0234000000000001</v>
      </c>
      <c r="AQ39" s="26">
        <f t="shared" si="10"/>
        <v>4.8500000000000099E-2</v>
      </c>
    </row>
    <row r="40" spans="1:43" x14ac:dyDescent="0.3">
      <c r="A40" t="s">
        <v>15</v>
      </c>
      <c r="B40" t="s">
        <v>36</v>
      </c>
      <c r="C40" t="s">
        <v>139</v>
      </c>
      <c r="D40" t="s">
        <v>185</v>
      </c>
      <c r="E40" t="s">
        <v>242</v>
      </c>
      <c r="F40">
        <v>24</v>
      </c>
      <c r="G40" t="s">
        <v>225</v>
      </c>
      <c r="H40" s="8">
        <v>0.35020000000000001</v>
      </c>
      <c r="I40" s="8">
        <f t="shared" si="2"/>
        <v>350.2</v>
      </c>
      <c r="J40" s="25">
        <f t="shared" ref="J40" si="22">J39</f>
        <v>1.5060919106331294</v>
      </c>
      <c r="K40" s="25">
        <f t="shared" si="11"/>
        <v>0.13973948781133363</v>
      </c>
      <c r="L40" s="25">
        <f t="shared" si="3"/>
        <v>0.21046051218866638</v>
      </c>
      <c r="M40" s="47">
        <v>150</v>
      </c>
      <c r="N40" s="26">
        <v>0.98060000000000003</v>
      </c>
      <c r="O40">
        <v>1.0726</v>
      </c>
      <c r="P40" s="26">
        <f t="shared" si="4"/>
        <v>9.1999999999999971E-2</v>
      </c>
      <c r="Q40" s="14">
        <v>0.98340000000000005</v>
      </c>
      <c r="R40" s="77">
        <v>1.0297000000000001</v>
      </c>
      <c r="S40" s="26">
        <f t="shared" si="5"/>
        <v>4.6300000000000008E-2</v>
      </c>
      <c r="V40" t="s">
        <v>56</v>
      </c>
      <c r="W40" t="s">
        <v>77</v>
      </c>
      <c r="X40" t="s">
        <v>167</v>
      </c>
      <c r="Y40" t="s">
        <v>186</v>
      </c>
      <c r="Z40" t="s">
        <v>206</v>
      </c>
      <c r="AA40">
        <v>80</v>
      </c>
      <c r="AB40" t="s">
        <v>225</v>
      </c>
      <c r="AC40" s="8">
        <f>0.3748-0.0164</f>
        <v>0.3584</v>
      </c>
      <c r="AD40" s="26">
        <v>1.5365613296774452</v>
      </c>
      <c r="AE40" s="26">
        <f t="shared" si="6"/>
        <v>0.1412936465626774</v>
      </c>
      <c r="AF40" s="26">
        <f t="shared" si="0"/>
        <v>0.21710635343732257</v>
      </c>
      <c r="AG40" s="47">
        <v>143</v>
      </c>
      <c r="AH40" s="26">
        <v>0.39679999999999999</v>
      </c>
      <c r="AI40" s="26">
        <f t="shared" si="1"/>
        <v>0.2836320702034304</v>
      </c>
      <c r="AJ40" s="26">
        <f t="shared" si="7"/>
        <v>283.63207020343037</v>
      </c>
      <c r="AK40" s="26">
        <f t="shared" si="8"/>
        <v>0.11181754877556919</v>
      </c>
      <c r="AL40" s="26">
        <v>0.98140000000000005</v>
      </c>
      <c r="AM40" s="26">
        <v>1.0759000000000001</v>
      </c>
      <c r="AN40" s="26">
        <f t="shared" si="9"/>
        <v>9.4500000000000028E-2</v>
      </c>
      <c r="AO40" s="14">
        <v>0.97470000000000001</v>
      </c>
      <c r="AP40" s="77">
        <v>1.0227999999999999</v>
      </c>
      <c r="AQ40" s="26">
        <f t="shared" si="10"/>
        <v>4.8099999999999921E-2</v>
      </c>
    </row>
    <row r="41" spans="1:43" x14ac:dyDescent="0.3">
      <c r="A41" t="s">
        <v>16</v>
      </c>
      <c r="B41" t="s">
        <v>37</v>
      </c>
      <c r="C41" t="s">
        <v>140</v>
      </c>
      <c r="D41" t="s">
        <v>185</v>
      </c>
      <c r="E41" t="s">
        <v>140</v>
      </c>
      <c r="F41">
        <v>25</v>
      </c>
      <c r="G41" t="s">
        <v>226</v>
      </c>
      <c r="H41" s="8">
        <v>0.35360000000000003</v>
      </c>
      <c r="I41" s="8">
        <f t="shared" si="2"/>
        <v>353.6</v>
      </c>
      <c r="J41" s="25">
        <f>'3_Pre-incubation'!K24</f>
        <v>1.5224654205355705</v>
      </c>
      <c r="K41" s="25">
        <f t="shared" si="11"/>
        <v>0.14018031609920883</v>
      </c>
      <c r="L41" s="25">
        <f t="shared" si="3"/>
        <v>0.21341968390079119</v>
      </c>
      <c r="M41" s="47">
        <v>150</v>
      </c>
      <c r="N41" s="26">
        <v>0.98119999999999996</v>
      </c>
      <c r="O41">
        <v>1.0747</v>
      </c>
      <c r="P41" s="26">
        <f t="shared" si="4"/>
        <v>9.3500000000000028E-2</v>
      </c>
      <c r="Q41" s="14">
        <v>0.98329999999999995</v>
      </c>
      <c r="R41" s="77">
        <v>1.0288999999999999</v>
      </c>
      <c r="S41" s="26">
        <f t="shared" si="5"/>
        <v>4.5599999999999974E-2</v>
      </c>
      <c r="V41" t="s">
        <v>57</v>
      </c>
      <c r="W41" t="s">
        <v>78</v>
      </c>
      <c r="X41" t="s">
        <v>168</v>
      </c>
      <c r="Y41" t="s">
        <v>186</v>
      </c>
      <c r="Z41" t="s">
        <v>168</v>
      </c>
      <c r="AA41">
        <v>81</v>
      </c>
      <c r="AB41" t="s">
        <v>226</v>
      </c>
      <c r="AC41" s="8">
        <f>0.3839-0.0174</f>
        <v>0.36650000000000005</v>
      </c>
      <c r="AD41" s="26">
        <v>1.523754046050366</v>
      </c>
      <c r="AE41" s="26">
        <f t="shared" si="6"/>
        <v>0.14522017332614745</v>
      </c>
      <c r="AF41" s="26">
        <f t="shared" si="0"/>
        <v>0.22127982667385263</v>
      </c>
      <c r="AG41" s="47">
        <v>165</v>
      </c>
      <c r="AH41" s="26">
        <v>0.40089999999999998</v>
      </c>
      <c r="AI41" s="26">
        <f t="shared" si="1"/>
        <v>0.27644374412041395</v>
      </c>
      <c r="AJ41" s="26">
        <f t="shared" si="7"/>
        <v>276.44374412041395</v>
      </c>
      <c r="AK41" s="26">
        <f t="shared" si="8"/>
        <v>0.10953672151731422</v>
      </c>
      <c r="AL41" s="26">
        <v>0.98019999999999996</v>
      </c>
      <c r="AM41" s="26">
        <v>1.0750999999999999</v>
      </c>
      <c r="AN41" s="26">
        <f t="shared" si="9"/>
        <v>9.4899999999999984E-2</v>
      </c>
      <c r="AO41" s="14">
        <v>0.98280000000000001</v>
      </c>
      <c r="AP41" s="77">
        <v>1.0306</v>
      </c>
      <c r="AQ41" s="26">
        <f t="shared" si="10"/>
        <v>4.7799999999999954E-2</v>
      </c>
    </row>
    <row r="42" spans="1:43" x14ac:dyDescent="0.3">
      <c r="A42" t="s">
        <v>16</v>
      </c>
      <c r="B42" t="s">
        <v>37</v>
      </c>
      <c r="C42" t="s">
        <v>140</v>
      </c>
      <c r="D42" t="s">
        <v>185</v>
      </c>
      <c r="E42" t="s">
        <v>243</v>
      </c>
      <c r="F42">
        <v>26</v>
      </c>
      <c r="G42" t="s">
        <v>225</v>
      </c>
      <c r="H42" s="8">
        <v>0.34939999999999999</v>
      </c>
      <c r="I42" s="8">
        <f t="shared" si="2"/>
        <v>349.4</v>
      </c>
      <c r="J42" s="25">
        <f t="shared" ref="J42" si="23">J41</f>
        <v>1.5224654205355705</v>
      </c>
      <c r="K42" s="25">
        <f t="shared" si="11"/>
        <v>0.13851527840798519</v>
      </c>
      <c r="L42" s="25">
        <f t="shared" si="3"/>
        <v>0.21088472159201482</v>
      </c>
      <c r="M42" s="47">
        <v>150</v>
      </c>
      <c r="N42" s="26">
        <v>0.98360000000000003</v>
      </c>
      <c r="O42">
        <v>1.0777000000000001</v>
      </c>
      <c r="P42" s="26">
        <f t="shared" si="4"/>
        <v>9.4100000000000072E-2</v>
      </c>
      <c r="Q42" s="14">
        <v>0.98350000000000004</v>
      </c>
      <c r="R42" s="77">
        <v>1.0294000000000001</v>
      </c>
      <c r="S42" s="26">
        <f t="shared" si="5"/>
        <v>4.5900000000000052E-2</v>
      </c>
      <c r="V42" t="s">
        <v>57</v>
      </c>
      <c r="W42" t="s">
        <v>78</v>
      </c>
      <c r="X42" t="s">
        <v>168</v>
      </c>
      <c r="Y42" t="s">
        <v>186</v>
      </c>
      <c r="Z42" t="s">
        <v>207</v>
      </c>
      <c r="AA42">
        <v>82</v>
      </c>
      <c r="AB42" t="s">
        <v>225</v>
      </c>
      <c r="AC42" s="8">
        <f>0.3729-0.0102</f>
        <v>0.36270000000000002</v>
      </c>
      <c r="AD42" s="26">
        <v>1.523754046050366</v>
      </c>
      <c r="AE42" s="26">
        <f t="shared" si="6"/>
        <v>0.14371447985100594</v>
      </c>
      <c r="AF42" s="26">
        <f t="shared" si="0"/>
        <v>0.21898552014899411</v>
      </c>
      <c r="AG42" s="47">
        <v>145</v>
      </c>
      <c r="AH42" s="26">
        <v>0.38850000000000001</v>
      </c>
      <c r="AI42" s="26">
        <f t="shared" si="1"/>
        <v>0.27754372661020288</v>
      </c>
      <c r="AJ42" s="26">
        <f t="shared" si="7"/>
        <v>277.5437266102029</v>
      </c>
      <c r="AK42" s="26">
        <f t="shared" si="8"/>
        <v>0.10997257321669451</v>
      </c>
      <c r="AL42" s="26">
        <v>0.98240000000000005</v>
      </c>
      <c r="AM42" s="26">
        <v>1.0780000000000001</v>
      </c>
      <c r="AN42" s="26">
        <f t="shared" si="9"/>
        <v>9.5600000000000018E-2</v>
      </c>
      <c r="AO42" s="14">
        <v>0.98029999999999995</v>
      </c>
      <c r="AP42" s="77">
        <v>1.0279</v>
      </c>
      <c r="AQ42" s="26">
        <f t="shared" si="10"/>
        <v>4.7600000000000087E-2</v>
      </c>
    </row>
    <row r="43" spans="1:43" x14ac:dyDescent="0.3">
      <c r="A43" t="s">
        <v>17</v>
      </c>
      <c r="B43" t="s">
        <v>38</v>
      </c>
      <c r="C43" t="s">
        <v>141</v>
      </c>
      <c r="D43" t="s">
        <v>185</v>
      </c>
      <c r="E43" t="s">
        <v>141</v>
      </c>
      <c r="F43">
        <v>27</v>
      </c>
      <c r="G43" t="s">
        <v>226</v>
      </c>
      <c r="H43" s="8">
        <v>0.35560000000000003</v>
      </c>
      <c r="I43" s="8">
        <f t="shared" si="2"/>
        <v>355.6</v>
      </c>
      <c r="J43" s="25">
        <f>'3_Pre-incubation'!K25</f>
        <v>1.4957970265535032</v>
      </c>
      <c r="K43" s="25">
        <f t="shared" si="11"/>
        <v>0.14247953508104597</v>
      </c>
      <c r="L43" s="25">
        <f t="shared" si="3"/>
        <v>0.21312046491895412</v>
      </c>
      <c r="M43" s="47">
        <v>150</v>
      </c>
      <c r="N43" s="26">
        <v>0.98140000000000005</v>
      </c>
      <c r="O43">
        <v>1.0763</v>
      </c>
      <c r="P43" s="26">
        <f t="shared" si="4"/>
        <v>9.4899999999999984E-2</v>
      </c>
      <c r="Q43" s="14">
        <v>0.97629999999999995</v>
      </c>
      <c r="R43" s="77">
        <v>1.0225</v>
      </c>
      <c r="S43" s="26">
        <f t="shared" si="5"/>
        <v>4.6200000000000019E-2</v>
      </c>
      <c r="V43" t="s">
        <v>58</v>
      </c>
      <c r="W43" t="s">
        <v>79</v>
      </c>
      <c r="X43" t="s">
        <v>169</v>
      </c>
      <c r="Y43" t="s">
        <v>186</v>
      </c>
      <c r="Z43" t="s">
        <v>169</v>
      </c>
      <c r="AA43">
        <v>83</v>
      </c>
      <c r="AB43" t="s">
        <v>226</v>
      </c>
      <c r="AC43" s="8">
        <v>0.36620000000000003</v>
      </c>
      <c r="AD43" s="26">
        <v>1.5477040971476075</v>
      </c>
      <c r="AE43" s="26">
        <f t="shared" si="6"/>
        <v>0.14373725756063865</v>
      </c>
      <c r="AF43" s="26">
        <f t="shared" si="0"/>
        <v>0.22246274243936137</v>
      </c>
      <c r="AG43" s="47">
        <v>148</v>
      </c>
      <c r="AH43" s="26">
        <v>0.38750000000000001</v>
      </c>
      <c r="AI43" s="26">
        <f t="shared" si="1"/>
        <v>0.27596752236483857</v>
      </c>
      <c r="AJ43" s="26">
        <f t="shared" si="7"/>
        <v>275.96752236483854</v>
      </c>
      <c r="AK43" s="26">
        <f t="shared" si="8"/>
        <v>0.10832008421771191</v>
      </c>
      <c r="AL43" s="26">
        <v>0.98380000000000001</v>
      </c>
      <c r="AM43" s="26">
        <v>1.0782</v>
      </c>
      <c r="AN43" s="26">
        <f t="shared" si="9"/>
        <v>9.4400000000000039E-2</v>
      </c>
      <c r="AO43" s="14">
        <v>0.98</v>
      </c>
      <c r="AP43" s="77">
        <v>1.0290999999999999</v>
      </c>
      <c r="AQ43" s="26">
        <f t="shared" si="10"/>
        <v>4.9099999999999921E-2</v>
      </c>
    </row>
    <row r="44" spans="1:43" x14ac:dyDescent="0.3">
      <c r="A44" t="s">
        <v>17</v>
      </c>
      <c r="B44" t="s">
        <v>38</v>
      </c>
      <c r="C44" t="s">
        <v>141</v>
      </c>
      <c r="D44" t="s">
        <v>185</v>
      </c>
      <c r="E44" t="s">
        <v>244</v>
      </c>
      <c r="F44">
        <v>28</v>
      </c>
      <c r="G44" t="s">
        <v>225</v>
      </c>
      <c r="H44" s="8">
        <v>0.35039999999999999</v>
      </c>
      <c r="I44" s="8">
        <f t="shared" si="2"/>
        <v>350.4</v>
      </c>
      <c r="J44" s="25">
        <f t="shared" ref="J44" si="24">J43</f>
        <v>1.4957970265535032</v>
      </c>
      <c r="K44" s="25">
        <f t="shared" si="11"/>
        <v>0.14039603231833098</v>
      </c>
      <c r="L44" s="25">
        <f t="shared" si="3"/>
        <v>0.21000396768166901</v>
      </c>
      <c r="M44" s="47">
        <v>150</v>
      </c>
      <c r="N44" s="26">
        <v>0.98450000000000004</v>
      </c>
      <c r="O44" s="26">
        <v>1.0793999999999999</v>
      </c>
      <c r="P44" s="26">
        <f t="shared" si="4"/>
        <v>9.4899999999999873E-2</v>
      </c>
      <c r="Q44" s="75">
        <v>0.98319999999999996</v>
      </c>
      <c r="R44" s="26">
        <v>1.0291999999999999</v>
      </c>
      <c r="S44" s="26">
        <f t="shared" si="5"/>
        <v>4.599999999999993E-2</v>
      </c>
      <c r="T44" s="26"/>
      <c r="V44" t="s">
        <v>58</v>
      </c>
      <c r="W44" t="s">
        <v>79</v>
      </c>
      <c r="X44" t="s">
        <v>169</v>
      </c>
      <c r="Y44" t="s">
        <v>186</v>
      </c>
      <c r="Z44" t="s">
        <v>208</v>
      </c>
      <c r="AA44">
        <v>84</v>
      </c>
      <c r="AB44" t="s">
        <v>225</v>
      </c>
      <c r="AC44" s="8">
        <v>0.36320000000000002</v>
      </c>
      <c r="AD44" s="26">
        <v>1.5477040971476075</v>
      </c>
      <c r="AE44" s="26">
        <f t="shared" si="6"/>
        <v>0.1425597267777825</v>
      </c>
      <c r="AF44" s="26">
        <f t="shared" si="0"/>
        <v>0.22064027322221746</v>
      </c>
      <c r="AG44" s="47">
        <v>131</v>
      </c>
      <c r="AH44" s="26">
        <v>0.37469999999999998</v>
      </c>
      <c r="AI44" s="26">
        <f t="shared" si="1"/>
        <v>0.27537644678267903</v>
      </c>
      <c r="AJ44" s="26">
        <f t="shared" si="7"/>
        <v>275.37644678267901</v>
      </c>
      <c r="AK44" s="26">
        <f t="shared" si="8"/>
        <v>0.1080880809867161</v>
      </c>
      <c r="AL44" s="26">
        <v>0.9819</v>
      </c>
      <c r="AM44" s="26">
        <v>1.0767</v>
      </c>
      <c r="AN44" s="26">
        <f t="shared" si="9"/>
        <v>9.4799999999999995E-2</v>
      </c>
      <c r="AO44" s="14">
        <v>0.98319999999999996</v>
      </c>
      <c r="AP44" s="77">
        <v>1.0323</v>
      </c>
      <c r="AQ44" s="26">
        <f t="shared" si="10"/>
        <v>4.9100000000000033E-2</v>
      </c>
    </row>
    <row r="45" spans="1:43" x14ac:dyDescent="0.3">
      <c r="C45" t="s">
        <v>323</v>
      </c>
      <c r="F45">
        <v>120</v>
      </c>
      <c r="G45" t="s">
        <v>225</v>
      </c>
      <c r="H45" s="8"/>
      <c r="I45" s="8">
        <f t="shared" si="2"/>
        <v>0</v>
      </c>
      <c r="J45" s="25"/>
      <c r="K45" s="25"/>
      <c r="L45" s="25"/>
      <c r="M45" s="47">
        <v>150</v>
      </c>
      <c r="N45" s="26">
        <v>0.98699999999999999</v>
      </c>
      <c r="O45" s="26">
        <v>1.0801000000000001</v>
      </c>
      <c r="P45" s="26">
        <f t="shared" si="4"/>
        <v>9.3100000000000072E-2</v>
      </c>
      <c r="Q45" s="75">
        <v>0.98119999999999996</v>
      </c>
      <c r="R45" s="26">
        <v>1.0265</v>
      </c>
      <c r="S45" s="26">
        <f t="shared" si="5"/>
        <v>4.5300000000000007E-2</v>
      </c>
      <c r="T45" s="26"/>
      <c r="X45" t="s">
        <v>323</v>
      </c>
      <c r="AA45">
        <v>124</v>
      </c>
      <c r="AB45" t="s">
        <v>226</v>
      </c>
      <c r="AC45" s="8"/>
      <c r="AD45" s="26"/>
      <c r="AE45" s="26"/>
      <c r="AF45" s="26"/>
      <c r="AG45" s="47">
        <v>150</v>
      </c>
      <c r="AH45" s="47"/>
      <c r="AI45" s="104"/>
      <c r="AJ45" s="104"/>
      <c r="AK45" s="26"/>
      <c r="AL45" s="26">
        <v>0.97750000000000004</v>
      </c>
      <c r="AM45" s="26">
        <v>1.0725</v>
      </c>
      <c r="AN45" s="26">
        <f t="shared" si="9"/>
        <v>9.4999999999999973E-2</v>
      </c>
      <c r="AO45" s="14">
        <v>0.97689999999999999</v>
      </c>
      <c r="AP45" s="77">
        <v>1.0264</v>
      </c>
      <c r="AQ45" s="26">
        <f t="shared" si="10"/>
        <v>4.9499999999999988E-2</v>
      </c>
    </row>
    <row r="46" spans="1:43" s="36" customFormat="1" ht="15" thickBot="1" x14ac:dyDescent="0.35">
      <c r="C46" s="36" t="s">
        <v>323</v>
      </c>
      <c r="F46" s="36">
        <v>121</v>
      </c>
      <c r="G46" s="36" t="s">
        <v>226</v>
      </c>
      <c r="H46" s="70"/>
      <c r="I46" s="8">
        <f t="shared" si="2"/>
        <v>0</v>
      </c>
      <c r="J46" s="54"/>
      <c r="K46" s="54"/>
      <c r="L46" s="54"/>
      <c r="M46" s="71">
        <v>150</v>
      </c>
      <c r="N46" s="72">
        <v>0.97870000000000001</v>
      </c>
      <c r="O46" s="72">
        <v>1.0723</v>
      </c>
      <c r="P46" s="72">
        <f t="shared" si="4"/>
        <v>9.3600000000000017E-2</v>
      </c>
      <c r="Q46" s="76">
        <v>0.98219999999999996</v>
      </c>
      <c r="R46" s="72">
        <v>1.0291999999999999</v>
      </c>
      <c r="S46" s="72">
        <f t="shared" si="5"/>
        <v>4.6999999999999931E-2</v>
      </c>
      <c r="T46" s="72"/>
      <c r="X46" s="36" t="s">
        <v>323</v>
      </c>
      <c r="AA46" s="36">
        <v>125</v>
      </c>
      <c r="AB46" s="36" t="s">
        <v>225</v>
      </c>
      <c r="AC46" s="70"/>
      <c r="AD46" s="72"/>
      <c r="AE46" s="72"/>
      <c r="AF46" s="72"/>
      <c r="AG46" s="71">
        <v>150</v>
      </c>
      <c r="AH46" s="71"/>
      <c r="AI46" s="72"/>
      <c r="AJ46" s="72"/>
      <c r="AK46" s="72"/>
      <c r="AL46" s="36">
        <v>0.98209999999999997</v>
      </c>
      <c r="AM46" s="36">
        <v>1.0787</v>
      </c>
      <c r="AN46" s="72">
        <f t="shared" si="9"/>
        <v>9.6600000000000019E-2</v>
      </c>
      <c r="AO46" s="78">
        <v>0.98540000000000005</v>
      </c>
      <c r="AP46" s="36">
        <v>1.034</v>
      </c>
      <c r="AQ46" s="72">
        <f t="shared" si="10"/>
        <v>4.8599999999999977E-2</v>
      </c>
    </row>
    <row r="47" spans="1:43" x14ac:dyDescent="0.3">
      <c r="A47" t="s">
        <v>23</v>
      </c>
      <c r="B47" t="s">
        <v>39</v>
      </c>
      <c r="C47" t="s">
        <v>142</v>
      </c>
      <c r="D47" t="s">
        <v>185</v>
      </c>
      <c r="E47" t="s">
        <v>142</v>
      </c>
      <c r="F47">
        <v>29</v>
      </c>
      <c r="G47" t="s">
        <v>226</v>
      </c>
      <c r="H47" s="8">
        <v>0.34499999999999997</v>
      </c>
      <c r="I47" s="8">
        <f t="shared" si="2"/>
        <v>345</v>
      </c>
      <c r="J47" s="25">
        <f>'3_Pre-incubation'!K26</f>
        <v>1.5241181713181773</v>
      </c>
      <c r="K47" s="25">
        <f t="shared" si="11"/>
        <v>0.13668139785223674</v>
      </c>
      <c r="L47" s="25">
        <f t="shared" si="3"/>
        <v>0.20831860214776329</v>
      </c>
      <c r="M47" s="47">
        <v>150</v>
      </c>
      <c r="N47" s="26">
        <v>0.98399999999999999</v>
      </c>
      <c r="O47" s="26">
        <v>1.0802</v>
      </c>
      <c r="P47" s="26">
        <f t="shared" si="4"/>
        <v>9.6200000000000063E-2</v>
      </c>
      <c r="Q47" s="75">
        <v>0.98350000000000004</v>
      </c>
      <c r="R47" s="26">
        <v>1.0311999999999999</v>
      </c>
      <c r="S47" s="26">
        <f t="shared" si="5"/>
        <v>4.7699999999999854E-2</v>
      </c>
      <c r="T47" s="26"/>
      <c r="V47" t="s">
        <v>59</v>
      </c>
      <c r="W47" t="s">
        <v>80</v>
      </c>
      <c r="X47" t="s">
        <v>170</v>
      </c>
      <c r="Y47" t="s">
        <v>186</v>
      </c>
      <c r="Z47" t="s">
        <v>170</v>
      </c>
      <c r="AA47">
        <v>85</v>
      </c>
      <c r="AB47" t="s">
        <v>226</v>
      </c>
      <c r="AC47" s="8">
        <v>0.36320000000000002</v>
      </c>
      <c r="AD47" s="26">
        <v>1.554762885770677</v>
      </c>
      <c r="AE47" s="26">
        <f t="shared" si="6"/>
        <v>0.14216583543737996</v>
      </c>
      <c r="AF47" s="26">
        <f t="shared" ref="AF47:AF74" si="25">AE47*AD47</f>
        <v>0.22103416456262004</v>
      </c>
      <c r="AG47" s="84">
        <v>140</v>
      </c>
      <c r="AH47" s="26">
        <v>0.42320000000000002</v>
      </c>
      <c r="AI47" s="26">
        <f t="shared" ref="AI47:AI74" si="26">AH47-((AG47/1000)/(AC47+AG47/1000))*AH47</f>
        <v>0.30545755166931643</v>
      </c>
      <c r="AJ47" s="26">
        <f t="shared" si="7"/>
        <v>305.45755166931644</v>
      </c>
      <c r="AK47" s="26">
        <f t="shared" ref="AK47:AK74" si="27">((AH47)-((AG47/1000)/(AE47+AF47+AG47/1000)*AH47))/(1+AD47)</f>
        <v>0.11956395380981558</v>
      </c>
      <c r="AL47" s="26">
        <v>0.98260000000000003</v>
      </c>
      <c r="AM47" s="26">
        <v>1.0769</v>
      </c>
      <c r="AN47" s="77">
        <f t="shared" si="9"/>
        <v>9.4299999999999939E-2</v>
      </c>
      <c r="AO47" s="79">
        <v>0.98540000000000005</v>
      </c>
      <c r="AP47" s="77">
        <v>1.0337000000000001</v>
      </c>
      <c r="AQ47" s="26">
        <f t="shared" si="10"/>
        <v>4.830000000000001E-2</v>
      </c>
    </row>
    <row r="48" spans="1:43" x14ac:dyDescent="0.3">
      <c r="A48" t="s">
        <v>23</v>
      </c>
      <c r="B48" t="s">
        <v>39</v>
      </c>
      <c r="C48" t="s">
        <v>142</v>
      </c>
      <c r="D48" t="s">
        <v>185</v>
      </c>
      <c r="E48" t="s">
        <v>245</v>
      </c>
      <c r="F48">
        <v>30</v>
      </c>
      <c r="G48" t="s">
        <v>225</v>
      </c>
      <c r="H48" s="8">
        <v>0.34760000000000002</v>
      </c>
      <c r="I48" s="8">
        <f t="shared" si="2"/>
        <v>347.6</v>
      </c>
      <c r="J48" s="25">
        <f t="shared" ref="J48" si="28">J47</f>
        <v>1.5241181713181773</v>
      </c>
      <c r="K48" s="25">
        <f t="shared" si="11"/>
        <v>0.13771146056068839</v>
      </c>
      <c r="L48" s="25">
        <f t="shared" si="3"/>
        <v>0.20988853943931168</v>
      </c>
      <c r="M48" s="47">
        <v>150</v>
      </c>
      <c r="N48" s="26">
        <v>0.98040000000000005</v>
      </c>
      <c r="O48" s="26">
        <v>1.0806</v>
      </c>
      <c r="P48" s="26">
        <f t="shared" si="4"/>
        <v>0.10019999999999996</v>
      </c>
      <c r="Q48" s="75">
        <v>0.97250000000000003</v>
      </c>
      <c r="R48" s="26">
        <v>1.0206</v>
      </c>
      <c r="S48" s="26">
        <f t="shared" si="5"/>
        <v>4.8099999999999921E-2</v>
      </c>
      <c r="T48" s="26"/>
      <c r="V48" t="s">
        <v>59</v>
      </c>
      <c r="W48" t="s">
        <v>80</v>
      </c>
      <c r="X48" t="s">
        <v>170</v>
      </c>
      <c r="Y48" t="s">
        <v>186</v>
      </c>
      <c r="Z48" t="s">
        <v>209</v>
      </c>
      <c r="AA48">
        <v>86</v>
      </c>
      <c r="AB48" t="s">
        <v>225</v>
      </c>
      <c r="AC48" s="8">
        <v>0.36409999999999998</v>
      </c>
      <c r="AD48" s="26">
        <v>1.554762885770677</v>
      </c>
      <c r="AE48" s="26">
        <f t="shared" si="6"/>
        <v>0.14251811861990649</v>
      </c>
      <c r="AF48" s="26">
        <f t="shared" si="25"/>
        <v>0.22158188138009347</v>
      </c>
      <c r="AG48" s="84">
        <v>148</v>
      </c>
      <c r="AH48" s="26">
        <v>0.3775</v>
      </c>
      <c r="AI48" s="26">
        <f t="shared" si="26"/>
        <v>0.26840021480179654</v>
      </c>
      <c r="AJ48" s="26">
        <f t="shared" si="7"/>
        <v>268.40021480179655</v>
      </c>
      <c r="AK48" s="26">
        <f t="shared" si="27"/>
        <v>0.10505875762353976</v>
      </c>
      <c r="AL48" s="26">
        <v>0.97809999999999997</v>
      </c>
      <c r="AM48" s="26">
        <v>1.0737000000000001</v>
      </c>
      <c r="AN48" s="77">
        <f t="shared" si="9"/>
        <v>9.5600000000000129E-2</v>
      </c>
      <c r="AO48" s="79">
        <v>0.98060000000000003</v>
      </c>
      <c r="AP48" s="77">
        <v>1.0285</v>
      </c>
      <c r="AQ48" s="26">
        <f t="shared" si="10"/>
        <v>4.7899999999999943E-2</v>
      </c>
    </row>
    <row r="49" spans="1:43" x14ac:dyDescent="0.3">
      <c r="A49" t="s">
        <v>18</v>
      </c>
      <c r="B49" t="s">
        <v>30</v>
      </c>
      <c r="C49" t="s">
        <v>143</v>
      </c>
      <c r="D49" t="s">
        <v>185</v>
      </c>
      <c r="E49" t="s">
        <v>143</v>
      </c>
      <c r="F49">
        <v>31</v>
      </c>
      <c r="G49" t="s">
        <v>226</v>
      </c>
      <c r="H49" s="8">
        <v>0.35310000000000002</v>
      </c>
      <c r="I49" s="8">
        <f t="shared" si="2"/>
        <v>353.1</v>
      </c>
      <c r="J49" s="25">
        <f>'3_Pre-incubation'!K27</f>
        <v>1.5007423382891505</v>
      </c>
      <c r="K49" s="25">
        <f t="shared" si="11"/>
        <v>0.14119807330553244</v>
      </c>
      <c r="L49" s="25">
        <f t="shared" si="3"/>
        <v>0.21190192669446764</v>
      </c>
      <c r="M49" s="47">
        <v>150</v>
      </c>
      <c r="N49" s="26">
        <v>0.9829</v>
      </c>
      <c r="O49" s="26">
        <v>1.0770999999999999</v>
      </c>
      <c r="P49" s="26">
        <f t="shared" si="4"/>
        <v>9.419999999999995E-2</v>
      </c>
      <c r="Q49" s="75">
        <v>0.98250000000000004</v>
      </c>
      <c r="R49" s="26">
        <v>1.0289999999999999</v>
      </c>
      <c r="S49" s="26">
        <f t="shared" si="5"/>
        <v>4.6499999999999875E-2</v>
      </c>
      <c r="T49" s="26"/>
      <c r="V49" t="s">
        <v>60</v>
      </c>
      <c r="W49" t="s">
        <v>81</v>
      </c>
      <c r="X49" t="s">
        <v>171</v>
      </c>
      <c r="Y49" t="s">
        <v>186</v>
      </c>
      <c r="Z49" t="s">
        <v>171</v>
      </c>
      <c r="AA49">
        <v>87</v>
      </c>
      <c r="AB49" t="s">
        <v>226</v>
      </c>
      <c r="AC49" s="8">
        <f>0.3779-0.0107</f>
        <v>0.36720000000000003</v>
      </c>
      <c r="AD49" s="26">
        <v>2.5533643419644179</v>
      </c>
      <c r="AE49" s="26">
        <f t="shared" si="6"/>
        <v>0.10333868544338452</v>
      </c>
      <c r="AF49" s="26">
        <f t="shared" si="25"/>
        <v>0.26386131455661549</v>
      </c>
      <c r="AG49" s="84">
        <v>135</v>
      </c>
      <c r="AH49" s="26">
        <v>0.48759999999999998</v>
      </c>
      <c r="AI49" s="26">
        <f t="shared" si="26"/>
        <v>0.35652473118279565</v>
      </c>
      <c r="AJ49" s="26">
        <f t="shared" si="7"/>
        <v>356.52473118279568</v>
      </c>
      <c r="AK49" s="26">
        <f t="shared" si="27"/>
        <v>0.10033441462006031</v>
      </c>
      <c r="AL49" s="26">
        <v>0.9768</v>
      </c>
      <c r="AM49" s="26">
        <v>1.0731999999999999</v>
      </c>
      <c r="AN49" s="77">
        <f t="shared" si="9"/>
        <v>9.639999999999993E-2</v>
      </c>
      <c r="AO49" s="79">
        <v>0.98050000000000004</v>
      </c>
      <c r="AP49" s="77">
        <v>1.0296000000000001</v>
      </c>
      <c r="AQ49" s="26">
        <f t="shared" si="10"/>
        <v>4.9100000000000033E-2</v>
      </c>
    </row>
    <row r="50" spans="1:43" x14ac:dyDescent="0.3">
      <c r="A50" t="s">
        <v>18</v>
      </c>
      <c r="B50" t="s">
        <v>30</v>
      </c>
      <c r="C50" t="s">
        <v>143</v>
      </c>
      <c r="D50" t="s">
        <v>185</v>
      </c>
      <c r="E50" t="s">
        <v>246</v>
      </c>
      <c r="F50">
        <v>32</v>
      </c>
      <c r="G50" t="s">
        <v>225</v>
      </c>
      <c r="H50" s="8">
        <v>0.35770000000000002</v>
      </c>
      <c r="I50" s="8">
        <f t="shared" si="2"/>
        <v>357.70000000000005</v>
      </c>
      <c r="J50" s="25">
        <f t="shared" ref="J50" si="29">J49</f>
        <v>1.5007423382891505</v>
      </c>
      <c r="K50" s="25">
        <f t="shared" si="11"/>
        <v>0.14303752710673734</v>
      </c>
      <c r="L50" s="25">
        <f t="shared" si="3"/>
        <v>0.21466247289326273</v>
      </c>
      <c r="M50" s="47">
        <v>150</v>
      </c>
      <c r="N50" s="26">
        <v>0.98170000000000002</v>
      </c>
      <c r="O50" s="26">
        <v>1.0764</v>
      </c>
      <c r="P50" s="26">
        <f t="shared" si="4"/>
        <v>9.4700000000000006E-2</v>
      </c>
      <c r="Q50" s="75">
        <v>0.98340000000000005</v>
      </c>
      <c r="R50" s="26">
        <v>1.0306</v>
      </c>
      <c r="S50" s="26">
        <f t="shared" si="5"/>
        <v>4.7199999999999909E-2</v>
      </c>
      <c r="T50" s="26"/>
      <c r="V50" t="s">
        <v>60</v>
      </c>
      <c r="W50" t="s">
        <v>81</v>
      </c>
      <c r="X50" t="s">
        <v>171</v>
      </c>
      <c r="Y50" t="s">
        <v>186</v>
      </c>
      <c r="Z50" t="s">
        <v>210</v>
      </c>
      <c r="AA50">
        <v>88</v>
      </c>
      <c r="AB50" t="s">
        <v>225</v>
      </c>
      <c r="AC50" s="8">
        <f>0.3717-0.012</f>
        <v>0.35969999999999996</v>
      </c>
      <c r="AD50" s="26">
        <v>2.5533643419644179</v>
      </c>
      <c r="AE50" s="26">
        <f t="shared" si="6"/>
        <v>0.1012280096786095</v>
      </c>
      <c r="AF50" s="26">
        <f t="shared" si="25"/>
        <v>0.25847199032139045</v>
      </c>
      <c r="AG50" s="84">
        <v>140</v>
      </c>
      <c r="AH50" s="26">
        <v>0.44409999999999999</v>
      </c>
      <c r="AI50" s="26">
        <f t="shared" si="26"/>
        <v>0.31967734640784468</v>
      </c>
      <c r="AJ50" s="26">
        <f t="shared" si="7"/>
        <v>319.67734640784465</v>
      </c>
      <c r="AK50" s="26">
        <f t="shared" si="27"/>
        <v>8.9964697014749809E-2</v>
      </c>
      <c r="AL50" s="26">
        <v>0.98580000000000001</v>
      </c>
      <c r="AM50" s="26">
        <v>1.0805</v>
      </c>
      <c r="AN50" s="77">
        <f t="shared" si="9"/>
        <v>9.4700000000000006E-2</v>
      </c>
      <c r="AO50" s="79">
        <v>0.97940000000000005</v>
      </c>
      <c r="AP50" s="77">
        <v>1.0281</v>
      </c>
      <c r="AQ50" s="26">
        <f t="shared" si="10"/>
        <v>4.8699999999999966E-2</v>
      </c>
    </row>
    <row r="51" spans="1:43" x14ac:dyDescent="0.3">
      <c r="A51" t="s">
        <v>19</v>
      </c>
      <c r="B51" t="s">
        <v>41</v>
      </c>
      <c r="C51" t="s">
        <v>144</v>
      </c>
      <c r="D51" t="s">
        <v>185</v>
      </c>
      <c r="E51" t="s">
        <v>144</v>
      </c>
      <c r="F51">
        <v>33</v>
      </c>
      <c r="G51" t="s">
        <v>226</v>
      </c>
      <c r="H51" s="8">
        <v>0.3589</v>
      </c>
      <c r="I51" s="8">
        <f t="shared" si="2"/>
        <v>358.9</v>
      </c>
      <c r="J51" s="25">
        <f>'3_Pre-incubation'!K28</f>
        <v>1.5226037535342483</v>
      </c>
      <c r="K51" s="25">
        <f t="shared" si="11"/>
        <v>0.14227363274837343</v>
      </c>
      <c r="L51" s="25">
        <f t="shared" si="3"/>
        <v>0.21662636725162654</v>
      </c>
      <c r="M51" s="47">
        <v>150</v>
      </c>
      <c r="N51" s="26">
        <v>0.98250000000000004</v>
      </c>
      <c r="O51" s="26">
        <v>1.0778000000000001</v>
      </c>
      <c r="P51" s="26">
        <f t="shared" si="4"/>
        <v>9.5300000000000051E-2</v>
      </c>
      <c r="Q51" s="75">
        <v>0.98329999999999995</v>
      </c>
      <c r="R51" s="26">
        <v>1.0319</v>
      </c>
      <c r="S51" s="26">
        <f t="shared" si="5"/>
        <v>4.8600000000000088E-2</v>
      </c>
      <c r="T51" s="26"/>
      <c r="V51" t="s">
        <v>61</v>
      </c>
      <c r="W51" t="s">
        <v>82</v>
      </c>
      <c r="X51" t="s">
        <v>172</v>
      </c>
      <c r="Y51" t="s">
        <v>186</v>
      </c>
      <c r="Z51" t="s">
        <v>172</v>
      </c>
      <c r="AA51">
        <v>89</v>
      </c>
      <c r="AB51" t="s">
        <v>226</v>
      </c>
      <c r="AC51" s="8">
        <v>0.36649999999999999</v>
      </c>
      <c r="AD51" s="26">
        <v>1.5688306104901106</v>
      </c>
      <c r="AE51" s="26">
        <f t="shared" si="6"/>
        <v>0.14267192180884009</v>
      </c>
      <c r="AF51" s="26">
        <f t="shared" si="25"/>
        <v>0.22382807819115991</v>
      </c>
      <c r="AG51" s="84">
        <v>140</v>
      </c>
      <c r="AH51" s="26">
        <v>0.39240000000000003</v>
      </c>
      <c r="AI51" s="26">
        <f t="shared" si="26"/>
        <v>0.283938005923001</v>
      </c>
      <c r="AJ51" s="26">
        <f t="shared" si="7"/>
        <v>283.93800592300101</v>
      </c>
      <c r="AK51" s="26">
        <f t="shared" si="27"/>
        <v>0.11053200812988914</v>
      </c>
      <c r="AL51" s="26">
        <v>0.98070000000000002</v>
      </c>
      <c r="AM51" s="26">
        <v>1.0764</v>
      </c>
      <c r="AN51" s="77">
        <f t="shared" si="9"/>
        <v>9.5700000000000007E-2</v>
      </c>
      <c r="AO51" s="79">
        <v>0.98370000000000002</v>
      </c>
      <c r="AP51" s="77">
        <v>1.0318000000000001</v>
      </c>
      <c r="AQ51" s="26">
        <f t="shared" si="10"/>
        <v>4.8100000000000032E-2</v>
      </c>
    </row>
    <row r="52" spans="1:43" x14ac:dyDescent="0.3">
      <c r="A52" t="s">
        <v>19</v>
      </c>
      <c r="B52" t="s">
        <v>41</v>
      </c>
      <c r="C52" t="s">
        <v>144</v>
      </c>
      <c r="D52" t="s">
        <v>185</v>
      </c>
      <c r="E52" t="s">
        <v>247</v>
      </c>
      <c r="F52">
        <v>34</v>
      </c>
      <c r="G52" t="s">
        <v>225</v>
      </c>
      <c r="H52" s="8">
        <v>0.35780000000000001</v>
      </c>
      <c r="I52" s="8">
        <f t="shared" si="2"/>
        <v>357.8</v>
      </c>
      <c r="J52" s="25">
        <f t="shared" ref="J52" si="30">J51</f>
        <v>1.5226037535342483</v>
      </c>
      <c r="K52" s="25">
        <f t="shared" si="11"/>
        <v>0.14183757536185013</v>
      </c>
      <c r="L52" s="25">
        <f t="shared" si="3"/>
        <v>0.21596242463814982</v>
      </c>
      <c r="M52" s="47">
        <v>150</v>
      </c>
      <c r="N52" s="26">
        <v>0.98040000000000005</v>
      </c>
      <c r="O52" s="26">
        <v>1.0725</v>
      </c>
      <c r="P52" s="26">
        <f t="shared" si="4"/>
        <v>9.209999999999996E-2</v>
      </c>
      <c r="Q52" s="75">
        <v>0.98250000000000004</v>
      </c>
      <c r="R52" s="26">
        <v>1.0304</v>
      </c>
      <c r="S52" s="26">
        <f t="shared" si="5"/>
        <v>4.7899999999999943E-2</v>
      </c>
      <c r="T52" s="26"/>
      <c r="V52" t="s">
        <v>61</v>
      </c>
      <c r="W52" t="s">
        <v>82</v>
      </c>
      <c r="X52" t="s">
        <v>172</v>
      </c>
      <c r="Y52" t="s">
        <v>186</v>
      </c>
      <c r="Z52" t="s">
        <v>211</v>
      </c>
      <c r="AA52">
        <v>90</v>
      </c>
      <c r="AB52" t="s">
        <v>225</v>
      </c>
      <c r="AC52" s="8">
        <v>0.35239999999999999</v>
      </c>
      <c r="AD52" s="26">
        <v>1.5688306104901106</v>
      </c>
      <c r="AE52" s="26">
        <f t="shared" si="6"/>
        <v>0.13718304296162412</v>
      </c>
      <c r="AF52" s="26">
        <f t="shared" si="25"/>
        <v>0.21521695703837584</v>
      </c>
      <c r="AG52" s="84">
        <v>140</v>
      </c>
      <c r="AH52" s="26">
        <v>0.3548</v>
      </c>
      <c r="AI52" s="26">
        <f t="shared" si="26"/>
        <v>0.25392266450040618</v>
      </c>
      <c r="AJ52" s="26">
        <f t="shared" si="7"/>
        <v>253.92266450040617</v>
      </c>
      <c r="AK52" s="26">
        <f t="shared" si="27"/>
        <v>9.8847570354963943E-2</v>
      </c>
      <c r="AL52" s="26">
        <v>0.98160000000000003</v>
      </c>
      <c r="AM52" s="26">
        <v>1.0766</v>
      </c>
      <c r="AN52" s="77">
        <f t="shared" si="9"/>
        <v>9.4999999999999973E-2</v>
      </c>
      <c r="AO52" s="79">
        <v>0.97270000000000001</v>
      </c>
      <c r="AP52" s="77">
        <v>1.0207999999999999</v>
      </c>
      <c r="AQ52" s="26">
        <f t="shared" si="10"/>
        <v>4.8099999999999921E-2</v>
      </c>
    </row>
    <row r="53" spans="1:43" x14ac:dyDescent="0.3">
      <c r="A53" s="46" t="s">
        <v>20</v>
      </c>
      <c r="B53" s="46" t="s">
        <v>42</v>
      </c>
      <c r="C53" s="46" t="s">
        <v>145</v>
      </c>
      <c r="D53" s="46" t="s">
        <v>185</v>
      </c>
      <c r="E53" s="46" t="s">
        <v>145</v>
      </c>
      <c r="F53" s="46">
        <v>35</v>
      </c>
      <c r="G53" s="46" t="s">
        <v>226</v>
      </c>
      <c r="H53" s="80">
        <v>0.35489999999999999</v>
      </c>
      <c r="I53" s="8">
        <f t="shared" si="2"/>
        <v>354.9</v>
      </c>
      <c r="J53" s="81">
        <f>'3_Pre-incubation'!K29</f>
        <v>1.5411935815025437</v>
      </c>
      <c r="K53" s="81">
        <f t="shared" si="11"/>
        <v>0.13965878183517078</v>
      </c>
      <c r="L53" s="81">
        <f t="shared" si="3"/>
        <v>0.21524121816482925</v>
      </c>
      <c r="M53" s="82">
        <v>150</v>
      </c>
      <c r="N53" s="83">
        <v>0.98270000000000002</v>
      </c>
      <c r="O53" s="83">
        <v>1.0797000000000001</v>
      </c>
      <c r="P53" s="83">
        <f t="shared" si="4"/>
        <v>9.7000000000000086E-2</v>
      </c>
      <c r="Q53" s="90">
        <v>0.98360000000000003</v>
      </c>
      <c r="R53" s="83">
        <v>1.0318000000000001</v>
      </c>
      <c r="S53" s="83">
        <f t="shared" si="5"/>
        <v>4.8200000000000021E-2</v>
      </c>
      <c r="T53" s="26"/>
      <c r="V53" t="s">
        <v>62</v>
      </c>
      <c r="W53" t="s">
        <v>83</v>
      </c>
      <c r="X53" t="s">
        <v>173</v>
      </c>
      <c r="Y53" t="s">
        <v>186</v>
      </c>
      <c r="Z53" t="s">
        <v>173</v>
      </c>
      <c r="AA53">
        <v>91</v>
      </c>
      <c r="AB53" t="s">
        <v>226</v>
      </c>
      <c r="AC53" s="8">
        <f>0.3768-0.015</f>
        <v>0.36180000000000001</v>
      </c>
      <c r="AD53" s="26">
        <v>1.5351059709575365</v>
      </c>
      <c r="AE53" s="26">
        <f t="shared" si="6"/>
        <v>0.14271592751735909</v>
      </c>
      <c r="AF53" s="26">
        <f t="shared" si="25"/>
        <v>0.21908407248264095</v>
      </c>
      <c r="AG53" s="84">
        <v>150</v>
      </c>
      <c r="AH53" s="26">
        <v>0.3987</v>
      </c>
      <c r="AI53" s="26">
        <f t="shared" si="26"/>
        <v>0.28184771395076202</v>
      </c>
      <c r="AJ53" s="26">
        <f t="shared" si="7"/>
        <v>281.847713950762</v>
      </c>
      <c r="AK53" s="26">
        <f t="shared" si="27"/>
        <v>0.11117788257360506</v>
      </c>
      <c r="AL53" s="26">
        <v>0.98170000000000002</v>
      </c>
      <c r="AM53" s="26">
        <v>1.0743</v>
      </c>
      <c r="AN53" s="77">
        <f t="shared" si="9"/>
        <v>9.2600000000000016E-2</v>
      </c>
      <c r="AO53" s="79">
        <v>0.98109999999999997</v>
      </c>
      <c r="AP53" s="77">
        <v>1.0293000000000001</v>
      </c>
      <c r="AQ53" s="26">
        <f t="shared" si="10"/>
        <v>4.8200000000000132E-2</v>
      </c>
    </row>
    <row r="54" spans="1:43" x14ac:dyDescent="0.3">
      <c r="A54" s="46" t="s">
        <v>20</v>
      </c>
      <c r="B54" s="46" t="s">
        <v>42</v>
      </c>
      <c r="C54" s="46" t="s">
        <v>145</v>
      </c>
      <c r="D54" s="46" t="s">
        <v>185</v>
      </c>
      <c r="E54" s="46" t="s">
        <v>248</v>
      </c>
      <c r="F54" s="46">
        <v>36</v>
      </c>
      <c r="G54" s="46" t="s">
        <v>225</v>
      </c>
      <c r="H54" s="80">
        <v>0.36109999999999998</v>
      </c>
      <c r="I54" s="8">
        <f t="shared" si="2"/>
        <v>361.09999999999997</v>
      </c>
      <c r="J54" s="81">
        <f t="shared" ref="J54" si="31">J53</f>
        <v>1.5411935815025437</v>
      </c>
      <c r="K54" s="81">
        <f t="shared" si="11"/>
        <v>0.14209858022169672</v>
      </c>
      <c r="L54" s="81">
        <f t="shared" si="3"/>
        <v>0.21900141977830329</v>
      </c>
      <c r="M54" s="82">
        <v>150</v>
      </c>
      <c r="N54" s="83">
        <v>0.98129999999999995</v>
      </c>
      <c r="O54" s="83">
        <v>1.0768</v>
      </c>
      <c r="P54" s="83">
        <f t="shared" si="4"/>
        <v>9.5500000000000029E-2</v>
      </c>
      <c r="Q54" s="90">
        <v>0.98219999999999996</v>
      </c>
      <c r="R54" s="83">
        <v>1.0309999999999999</v>
      </c>
      <c r="S54" s="83">
        <f t="shared" si="5"/>
        <v>4.8799999999999955E-2</v>
      </c>
      <c r="T54" s="26"/>
      <c r="V54" t="s">
        <v>62</v>
      </c>
      <c r="W54" t="s">
        <v>83</v>
      </c>
      <c r="X54" t="s">
        <v>173</v>
      </c>
      <c r="Y54" t="s">
        <v>186</v>
      </c>
      <c r="Z54" t="s">
        <v>212</v>
      </c>
      <c r="AA54">
        <v>92</v>
      </c>
      <c r="AB54" t="s">
        <v>225</v>
      </c>
      <c r="AC54" s="8">
        <v>0.36520000000000002</v>
      </c>
      <c r="AD54" s="26">
        <v>1.5351059709575365</v>
      </c>
      <c r="AE54" s="26">
        <f t="shared" si="6"/>
        <v>0.14405709433206065</v>
      </c>
      <c r="AF54" s="26">
        <f t="shared" si="25"/>
        <v>0.2211429056679394</v>
      </c>
      <c r="AG54" s="84">
        <v>175</v>
      </c>
      <c r="AH54" s="26">
        <v>0.442</v>
      </c>
      <c r="AI54" s="26">
        <f t="shared" si="26"/>
        <v>0.29881229174379864</v>
      </c>
      <c r="AJ54" s="26">
        <f t="shared" si="7"/>
        <v>298.81229174379865</v>
      </c>
      <c r="AK54" s="26">
        <f t="shared" si="27"/>
        <v>0.11786974397402965</v>
      </c>
      <c r="AL54" s="26">
        <v>0.98250000000000004</v>
      </c>
      <c r="AM54" s="26">
        <v>1.0760000000000001</v>
      </c>
      <c r="AN54" s="77">
        <f t="shared" si="9"/>
        <v>9.3500000000000028E-2</v>
      </c>
      <c r="AO54" s="79">
        <v>0.97689999999999999</v>
      </c>
      <c r="AP54" s="77">
        <v>1.0249999999999999</v>
      </c>
      <c r="AQ54" s="26">
        <f t="shared" si="10"/>
        <v>4.8099999999999921E-2</v>
      </c>
    </row>
    <row r="55" spans="1:43" x14ac:dyDescent="0.3">
      <c r="A55" t="s">
        <v>21</v>
      </c>
      <c r="B55" t="s">
        <v>43</v>
      </c>
      <c r="C55" t="s">
        <v>146</v>
      </c>
      <c r="D55" t="s">
        <v>185</v>
      </c>
      <c r="E55" t="s">
        <v>146</v>
      </c>
      <c r="F55">
        <v>37</v>
      </c>
      <c r="G55" t="s">
        <v>226</v>
      </c>
      <c r="H55" s="8">
        <v>0.35349999999999998</v>
      </c>
      <c r="I55" s="8">
        <f t="shared" si="2"/>
        <v>353.5</v>
      </c>
      <c r="J55" s="25">
        <f>'3_Pre-incubation'!K30</f>
        <v>1.5510871945370068</v>
      </c>
      <c r="K55" s="25">
        <f t="shared" si="11"/>
        <v>0.1385683722441938</v>
      </c>
      <c r="L55" s="25">
        <f t="shared" si="3"/>
        <v>0.21493162775580621</v>
      </c>
      <c r="M55" s="47">
        <v>150</v>
      </c>
      <c r="N55" s="26">
        <v>0.98329999999999995</v>
      </c>
      <c r="O55" s="26">
        <v>1.0805</v>
      </c>
      <c r="P55" s="26">
        <f t="shared" si="4"/>
        <v>9.7200000000000064E-2</v>
      </c>
      <c r="Q55" s="75">
        <v>0.98340000000000005</v>
      </c>
      <c r="R55" s="26">
        <v>1.0321</v>
      </c>
      <c r="S55" s="26">
        <f t="shared" si="5"/>
        <v>4.8699999999999966E-2</v>
      </c>
      <c r="T55" s="26"/>
      <c r="V55" t="s">
        <v>63</v>
      </c>
      <c r="W55" t="s">
        <v>84</v>
      </c>
      <c r="X55" t="s">
        <v>174</v>
      </c>
      <c r="Y55" t="s">
        <v>186</v>
      </c>
      <c r="Z55" t="s">
        <v>174</v>
      </c>
      <c r="AA55">
        <v>93</v>
      </c>
      <c r="AB55" t="s">
        <v>226</v>
      </c>
      <c r="AC55" s="8">
        <v>0.3639</v>
      </c>
      <c r="AD55" s="26">
        <v>1.5103665778961377</v>
      </c>
      <c r="AE55" s="26">
        <f t="shared" si="6"/>
        <v>0.14495890887177665</v>
      </c>
      <c r="AF55" s="26">
        <f t="shared" si="25"/>
        <v>0.21894109112822338</v>
      </c>
      <c r="AG55" s="84">
        <v>160</v>
      </c>
      <c r="AH55" s="26">
        <v>0.42259999999999998</v>
      </c>
      <c r="AI55" s="26">
        <f t="shared" si="26"/>
        <v>0.2935372017560603</v>
      </c>
      <c r="AJ55" s="26">
        <f t="shared" si="7"/>
        <v>293.53720175606031</v>
      </c>
      <c r="AK55" s="26">
        <f t="shared" si="27"/>
        <v>0.11693001505862342</v>
      </c>
      <c r="AL55" s="26">
        <v>0.98619999999999997</v>
      </c>
      <c r="AM55" s="26">
        <v>1.0815999999999999</v>
      </c>
      <c r="AN55" s="77">
        <f t="shared" si="9"/>
        <v>9.5399999999999929E-2</v>
      </c>
      <c r="AO55" s="79">
        <v>0.9839</v>
      </c>
      <c r="AP55" s="77">
        <v>1.0323</v>
      </c>
      <c r="AQ55" s="26">
        <f t="shared" si="10"/>
        <v>4.8399999999999999E-2</v>
      </c>
    </row>
    <row r="56" spans="1:43" x14ac:dyDescent="0.3">
      <c r="A56" t="s">
        <v>21</v>
      </c>
      <c r="B56" t="s">
        <v>43</v>
      </c>
      <c r="C56" t="s">
        <v>146</v>
      </c>
      <c r="D56" t="s">
        <v>185</v>
      </c>
      <c r="E56" t="s">
        <v>249</v>
      </c>
      <c r="F56">
        <v>38</v>
      </c>
      <c r="G56" t="s">
        <v>225</v>
      </c>
      <c r="H56" s="8">
        <v>0.35270000000000001</v>
      </c>
      <c r="I56" s="8">
        <f t="shared" si="2"/>
        <v>352.7</v>
      </c>
      <c r="J56" s="25">
        <f t="shared" ref="J56" si="32">J55</f>
        <v>1.5510871945370068</v>
      </c>
      <c r="K56" s="25">
        <f t="shared" si="11"/>
        <v>0.13825478045410794</v>
      </c>
      <c r="L56" s="25">
        <f t="shared" si="3"/>
        <v>0.2144452195458921</v>
      </c>
      <c r="M56" s="47">
        <v>150</v>
      </c>
      <c r="N56" s="26">
        <v>0.98319999999999996</v>
      </c>
      <c r="O56" s="26">
        <v>1.083</v>
      </c>
      <c r="P56" s="26">
        <f t="shared" si="4"/>
        <v>9.98E-2</v>
      </c>
      <c r="Q56" s="75">
        <v>0.97699999999999998</v>
      </c>
      <c r="R56" s="26">
        <v>1.0249999999999999</v>
      </c>
      <c r="S56" s="26">
        <f t="shared" si="5"/>
        <v>4.7999999999999932E-2</v>
      </c>
      <c r="T56" s="26"/>
      <c r="V56" t="s">
        <v>63</v>
      </c>
      <c r="W56" t="s">
        <v>84</v>
      </c>
      <c r="X56" t="s">
        <v>174</v>
      </c>
      <c r="Y56" t="s">
        <v>186</v>
      </c>
      <c r="Z56" t="s">
        <v>213</v>
      </c>
      <c r="AA56">
        <v>94</v>
      </c>
      <c r="AB56" t="s">
        <v>225</v>
      </c>
      <c r="AC56" s="8">
        <v>0.36509999999999998</v>
      </c>
      <c r="AD56" s="26">
        <v>1.5103665778961377</v>
      </c>
      <c r="AE56" s="26">
        <f t="shared" si="6"/>
        <v>0.14543692670812217</v>
      </c>
      <c r="AF56" s="26">
        <f t="shared" si="25"/>
        <v>0.21966307329187787</v>
      </c>
      <c r="AG56" s="84">
        <v>160</v>
      </c>
      <c r="AH56" s="26">
        <v>0.42930000000000001</v>
      </c>
      <c r="AI56" s="26">
        <f t="shared" si="26"/>
        <v>0.29849063035612267</v>
      </c>
      <c r="AJ56" s="26">
        <f t="shared" si="7"/>
        <v>298.49063035612267</v>
      </c>
      <c r="AK56" s="26">
        <f t="shared" si="27"/>
        <v>0.11890320441020158</v>
      </c>
      <c r="AL56" s="26">
        <v>0.98250000000000004</v>
      </c>
      <c r="AM56" s="26">
        <v>1.0786</v>
      </c>
      <c r="AN56" s="77">
        <f t="shared" si="9"/>
        <v>9.6099999999999963E-2</v>
      </c>
      <c r="AO56" s="79">
        <v>0.97970000000000002</v>
      </c>
      <c r="AP56" s="77">
        <v>1.0282</v>
      </c>
      <c r="AQ56" s="26">
        <f t="shared" si="10"/>
        <v>4.8499999999999988E-2</v>
      </c>
    </row>
    <row r="57" spans="1:43" x14ac:dyDescent="0.3">
      <c r="A57" t="s">
        <v>22</v>
      </c>
      <c r="B57" t="s">
        <v>44</v>
      </c>
      <c r="C57" t="s">
        <v>147</v>
      </c>
      <c r="D57" t="s">
        <v>185</v>
      </c>
      <c r="E57" t="s">
        <v>147</v>
      </c>
      <c r="F57">
        <v>39</v>
      </c>
      <c r="G57" t="s">
        <v>226</v>
      </c>
      <c r="H57" s="8">
        <v>0.35020000000000001</v>
      </c>
      <c r="I57" s="8">
        <f t="shared" si="2"/>
        <v>350.2</v>
      </c>
      <c r="J57" s="25">
        <f>'3_Pre-incubation'!K31</f>
        <v>1.5649002472495086</v>
      </c>
      <c r="K57" s="25">
        <f t="shared" si="11"/>
        <v>0.13653552428619389</v>
      </c>
      <c r="L57" s="25">
        <f t="shared" si="3"/>
        <v>0.21366447571380612</v>
      </c>
      <c r="M57" s="47">
        <v>150</v>
      </c>
      <c r="N57" s="26">
        <v>0.97909999999999997</v>
      </c>
      <c r="O57" s="26">
        <v>1.0786</v>
      </c>
      <c r="P57" s="26">
        <f t="shared" si="4"/>
        <v>9.9500000000000033E-2</v>
      </c>
      <c r="Q57" s="75">
        <v>0.98080000000000001</v>
      </c>
      <c r="R57" s="26">
        <v>1.0283</v>
      </c>
      <c r="S57" s="26">
        <f t="shared" si="5"/>
        <v>4.7499999999999987E-2</v>
      </c>
      <c r="T57" s="26"/>
      <c r="V57" t="s">
        <v>64</v>
      </c>
      <c r="W57" t="s">
        <v>85</v>
      </c>
      <c r="X57" t="s">
        <v>175</v>
      </c>
      <c r="Y57" t="s">
        <v>186</v>
      </c>
      <c r="Z57" t="s">
        <v>175</v>
      </c>
      <c r="AA57">
        <v>95</v>
      </c>
      <c r="AB57" t="s">
        <v>226</v>
      </c>
      <c r="AC57" s="8">
        <v>0.36720000000000003</v>
      </c>
      <c r="AD57" s="26">
        <v>1.5216307546758283</v>
      </c>
      <c r="AE57" s="26">
        <f t="shared" si="6"/>
        <v>0.14562005135728362</v>
      </c>
      <c r="AF57" s="26">
        <f t="shared" si="25"/>
        <v>0.22157994864271635</v>
      </c>
      <c r="AG57" s="84">
        <v>175</v>
      </c>
      <c r="AH57" s="26">
        <v>0.41060000000000002</v>
      </c>
      <c r="AI57" s="26">
        <f t="shared" si="26"/>
        <v>0.27807510143858361</v>
      </c>
      <c r="AJ57" s="26">
        <f t="shared" si="7"/>
        <v>278.0751014385836</v>
      </c>
      <c r="AK57" s="26">
        <f t="shared" si="27"/>
        <v>0.11027590019789868</v>
      </c>
      <c r="AL57" s="26">
        <v>0.97989999999999999</v>
      </c>
      <c r="AM57" s="26">
        <v>1.0749</v>
      </c>
      <c r="AN57" s="77">
        <f t="shared" si="9"/>
        <v>9.4999999999999973E-2</v>
      </c>
      <c r="AO57" s="79">
        <v>0.98099999999999998</v>
      </c>
      <c r="AP57" s="77">
        <v>1.0294000000000001</v>
      </c>
      <c r="AQ57" s="26">
        <f t="shared" si="10"/>
        <v>4.840000000000011E-2</v>
      </c>
    </row>
    <row r="58" spans="1:43" x14ac:dyDescent="0.3">
      <c r="A58" t="s">
        <v>22</v>
      </c>
      <c r="B58" t="s">
        <v>44</v>
      </c>
      <c r="C58" t="s">
        <v>147</v>
      </c>
      <c r="D58" t="s">
        <v>185</v>
      </c>
      <c r="E58" t="s">
        <v>250</v>
      </c>
      <c r="F58">
        <v>40</v>
      </c>
      <c r="G58" t="s">
        <v>225</v>
      </c>
      <c r="H58" s="8">
        <v>0.35809999999999997</v>
      </c>
      <c r="I58" s="8">
        <f t="shared" si="2"/>
        <v>358.09999999999997</v>
      </c>
      <c r="J58" s="25">
        <f t="shared" ref="J58" si="33">J57</f>
        <v>1.5649002472495086</v>
      </c>
      <c r="K58" s="25">
        <f t="shared" si="11"/>
        <v>0.13961556609619083</v>
      </c>
      <c r="L58" s="25">
        <f t="shared" si="3"/>
        <v>0.21848443390380914</v>
      </c>
      <c r="M58" s="47">
        <v>150</v>
      </c>
      <c r="N58" s="26">
        <v>0.98409999999999997</v>
      </c>
      <c r="O58" s="26">
        <v>1.0832999999999999</v>
      </c>
      <c r="P58" s="26">
        <f t="shared" si="4"/>
        <v>9.9199999999999955E-2</v>
      </c>
      <c r="Q58" s="75">
        <v>0.98019999999999996</v>
      </c>
      <c r="R58" s="26">
        <v>1.0282</v>
      </c>
      <c r="S58" s="26">
        <f t="shared" si="5"/>
        <v>4.8000000000000043E-2</v>
      </c>
      <c r="T58" s="26"/>
      <c r="V58" t="s">
        <v>64</v>
      </c>
      <c r="W58" t="s">
        <v>85</v>
      </c>
      <c r="X58" t="s">
        <v>175</v>
      </c>
      <c r="Y58" t="s">
        <v>186</v>
      </c>
      <c r="Z58" t="s">
        <v>214</v>
      </c>
      <c r="AA58">
        <v>96</v>
      </c>
      <c r="AB58" t="s">
        <v>225</v>
      </c>
      <c r="AC58" s="8">
        <v>0.36049999999999999</v>
      </c>
      <c r="AD58" s="26">
        <v>1.5216307546758283</v>
      </c>
      <c r="AE58" s="26">
        <f t="shared" si="6"/>
        <v>0.14296304061628742</v>
      </c>
      <c r="AF58" s="26">
        <f t="shared" si="25"/>
        <v>0.21753695938371254</v>
      </c>
      <c r="AG58" s="84">
        <v>160</v>
      </c>
      <c r="AH58" s="26">
        <v>0.43330000000000002</v>
      </c>
      <c r="AI58" s="26">
        <f t="shared" si="26"/>
        <v>0.30010499519692602</v>
      </c>
      <c r="AJ58" s="26">
        <f t="shared" si="7"/>
        <v>300.10499519692604</v>
      </c>
      <c r="AK58" s="26">
        <f t="shared" si="27"/>
        <v>0.11901226800967789</v>
      </c>
      <c r="AL58" s="26">
        <v>0.98270000000000002</v>
      </c>
      <c r="AM58" s="26">
        <v>1.0763</v>
      </c>
      <c r="AN58" s="77">
        <f t="shared" si="9"/>
        <v>9.3600000000000017E-2</v>
      </c>
      <c r="AO58" s="79">
        <v>0.98540000000000005</v>
      </c>
      <c r="AP58" s="77">
        <v>1.0337000000000001</v>
      </c>
      <c r="AQ58" s="26">
        <f t="shared" si="10"/>
        <v>4.830000000000001E-2</v>
      </c>
    </row>
    <row r="59" spans="1:43" x14ac:dyDescent="0.3">
      <c r="A59" t="s">
        <v>48</v>
      </c>
      <c r="B59" t="s">
        <v>69</v>
      </c>
      <c r="C59" t="s">
        <v>148</v>
      </c>
      <c r="D59" t="s">
        <v>185</v>
      </c>
      <c r="E59" t="s">
        <v>148</v>
      </c>
      <c r="F59">
        <v>41</v>
      </c>
      <c r="G59" t="s">
        <v>226</v>
      </c>
      <c r="H59" s="8">
        <v>0.34889999999999999</v>
      </c>
      <c r="I59" s="8">
        <f t="shared" si="2"/>
        <v>348.9</v>
      </c>
      <c r="J59" s="25">
        <f>'3_Pre-incubation'!K32</f>
        <v>1.5077016640963063</v>
      </c>
      <c r="K59" s="25">
        <f t="shared" si="11"/>
        <v>0.1391313827299836</v>
      </c>
      <c r="L59" s="25">
        <f t="shared" si="3"/>
        <v>0.20976861727001636</v>
      </c>
      <c r="M59" s="47">
        <v>150</v>
      </c>
      <c r="N59" s="26">
        <v>0.97909999999999997</v>
      </c>
      <c r="O59" s="26">
        <v>1.0766</v>
      </c>
      <c r="P59" s="26">
        <f t="shared" si="4"/>
        <v>9.7500000000000031E-2</v>
      </c>
      <c r="Q59" s="75">
        <v>0.98170000000000002</v>
      </c>
      <c r="R59" s="26">
        <v>1.0294000000000001</v>
      </c>
      <c r="S59" s="26">
        <f t="shared" si="5"/>
        <v>4.7700000000000076E-2</v>
      </c>
      <c r="T59" s="26"/>
      <c r="V59" t="s">
        <v>7</v>
      </c>
      <c r="W59" t="s">
        <v>28</v>
      </c>
      <c r="X59" t="s">
        <v>176</v>
      </c>
      <c r="Y59" t="s">
        <v>186</v>
      </c>
      <c r="Z59" t="s">
        <v>176</v>
      </c>
      <c r="AA59">
        <v>97</v>
      </c>
      <c r="AB59" t="s">
        <v>226</v>
      </c>
      <c r="AC59" s="8">
        <v>0.36530000000000001</v>
      </c>
      <c r="AD59" s="26">
        <v>1.5675593029170103</v>
      </c>
      <c r="AE59" s="26">
        <f t="shared" si="6"/>
        <v>0.14227519480659387</v>
      </c>
      <c r="AF59" s="26">
        <f t="shared" si="25"/>
        <v>0.22302480519340612</v>
      </c>
      <c r="AG59" s="84">
        <v>170</v>
      </c>
      <c r="AH59" s="26">
        <v>0.43369999999999997</v>
      </c>
      <c r="AI59" s="26">
        <f t="shared" si="26"/>
        <v>0.29596601905473563</v>
      </c>
      <c r="AJ59" s="26">
        <f t="shared" si="7"/>
        <v>295.96601905473563</v>
      </c>
      <c r="AK59" s="26">
        <f t="shared" si="27"/>
        <v>0.11527134688514806</v>
      </c>
      <c r="AL59" s="26">
        <v>0.98250000000000004</v>
      </c>
      <c r="AM59" s="26">
        <v>1.0773999999999999</v>
      </c>
      <c r="AN59" s="77">
        <f t="shared" si="9"/>
        <v>9.4899999999999873E-2</v>
      </c>
      <c r="AO59" s="79">
        <v>0.98260000000000003</v>
      </c>
      <c r="AP59" s="77">
        <v>1.0307999999999999</v>
      </c>
      <c r="AQ59" s="26">
        <f t="shared" si="10"/>
        <v>4.819999999999991E-2</v>
      </c>
    </row>
    <row r="60" spans="1:43" x14ac:dyDescent="0.3">
      <c r="A60" t="s">
        <v>48</v>
      </c>
      <c r="B60" t="s">
        <v>69</v>
      </c>
      <c r="C60" t="s">
        <v>148</v>
      </c>
      <c r="D60" t="s">
        <v>185</v>
      </c>
      <c r="E60" t="s">
        <v>251</v>
      </c>
      <c r="F60">
        <v>42</v>
      </c>
      <c r="G60" t="s">
        <v>225</v>
      </c>
      <c r="H60" s="8">
        <v>0.35199999999999998</v>
      </c>
      <c r="I60" s="8">
        <f t="shared" si="2"/>
        <v>352</v>
      </c>
      <c r="J60" s="25">
        <f t="shared" ref="J60" si="34">J59</f>
        <v>1.5077016640963063</v>
      </c>
      <c r="K60" s="25">
        <f t="shared" si="11"/>
        <v>0.14036757443667019</v>
      </c>
      <c r="L60" s="25">
        <f t="shared" si="3"/>
        <v>0.21163242556332981</v>
      </c>
      <c r="M60" s="47">
        <v>150</v>
      </c>
      <c r="N60" s="26">
        <v>0.97740000000000005</v>
      </c>
      <c r="O60" s="26">
        <v>1.0764</v>
      </c>
      <c r="P60" s="26">
        <f t="shared" si="4"/>
        <v>9.8999999999999977E-2</v>
      </c>
      <c r="Q60" s="75">
        <v>0.98160000000000003</v>
      </c>
      <c r="R60" s="26">
        <v>1.0297000000000001</v>
      </c>
      <c r="S60" s="26">
        <f t="shared" si="5"/>
        <v>4.8100000000000032E-2</v>
      </c>
      <c r="T60" s="26"/>
      <c r="V60" t="s">
        <v>7</v>
      </c>
      <c r="W60" t="s">
        <v>28</v>
      </c>
      <c r="X60" t="s">
        <v>176</v>
      </c>
      <c r="Y60" t="s">
        <v>186</v>
      </c>
      <c r="Z60" t="s">
        <v>215</v>
      </c>
      <c r="AA60">
        <v>98</v>
      </c>
      <c r="AB60" t="s">
        <v>225</v>
      </c>
      <c r="AC60">
        <v>0.35399999999999998</v>
      </c>
      <c r="AD60" s="26">
        <v>1.5675593029170103</v>
      </c>
      <c r="AE60" s="26">
        <f t="shared" si="6"/>
        <v>0.13787412800857987</v>
      </c>
      <c r="AF60" s="26">
        <f t="shared" si="25"/>
        <v>0.21612587199142011</v>
      </c>
      <c r="AG60" s="84">
        <v>160</v>
      </c>
      <c r="AH60" s="26">
        <v>0.39460000000000001</v>
      </c>
      <c r="AI60" s="26">
        <f t="shared" si="26"/>
        <v>0.27176731517509728</v>
      </c>
      <c r="AJ60" s="26">
        <f t="shared" si="7"/>
        <v>271.76731517509728</v>
      </c>
      <c r="AK60" s="26">
        <f t="shared" si="27"/>
        <v>0.10584655819491366</v>
      </c>
      <c r="AL60" s="26">
        <v>0.98270000000000002</v>
      </c>
      <c r="AM60" s="26">
        <v>1.0763</v>
      </c>
      <c r="AN60" s="77">
        <f t="shared" si="9"/>
        <v>9.3600000000000017E-2</v>
      </c>
      <c r="AO60" s="79">
        <v>0.97699999999999998</v>
      </c>
      <c r="AP60" s="77">
        <v>1.0246999999999999</v>
      </c>
      <c r="AQ60" s="26">
        <f t="shared" si="10"/>
        <v>4.7699999999999965E-2</v>
      </c>
    </row>
    <row r="61" spans="1:43" x14ac:dyDescent="0.3">
      <c r="A61" t="s">
        <v>49</v>
      </c>
      <c r="B61" t="s">
        <v>70</v>
      </c>
      <c r="C61" t="s">
        <v>149</v>
      </c>
      <c r="D61" t="s">
        <v>185</v>
      </c>
      <c r="E61" t="s">
        <v>149</v>
      </c>
      <c r="F61">
        <v>43</v>
      </c>
      <c r="G61" t="s">
        <v>226</v>
      </c>
      <c r="H61" s="8">
        <v>0.35449999999999998</v>
      </c>
      <c r="I61" s="8">
        <f t="shared" si="2"/>
        <v>354.5</v>
      </c>
      <c r="J61" s="25">
        <f>'3_Pre-incubation'!K33</f>
        <v>1.5153219321909572</v>
      </c>
      <c r="K61" s="25">
        <f t="shared" si="11"/>
        <v>0.14093623383278606</v>
      </c>
      <c r="L61" s="25">
        <f t="shared" si="3"/>
        <v>0.21356376616721393</v>
      </c>
      <c r="M61" s="47">
        <v>150</v>
      </c>
      <c r="N61" s="26">
        <v>0.98109999999999997</v>
      </c>
      <c r="O61" s="26">
        <v>1.0814999999999999</v>
      </c>
      <c r="P61" s="26">
        <f t="shared" si="4"/>
        <v>0.10039999999999993</v>
      </c>
      <c r="Q61" s="75">
        <v>0.97919999999999996</v>
      </c>
      <c r="R61" s="26">
        <v>1.0266999999999999</v>
      </c>
      <c r="S61" s="26">
        <f t="shared" si="5"/>
        <v>4.7499999999999987E-2</v>
      </c>
      <c r="T61" s="26"/>
      <c r="V61" t="s">
        <v>8</v>
      </c>
      <c r="W61" t="s">
        <v>29</v>
      </c>
      <c r="X61" t="s">
        <v>177</v>
      </c>
      <c r="Y61" t="s">
        <v>186</v>
      </c>
      <c r="Z61" t="s">
        <v>177</v>
      </c>
      <c r="AA61">
        <v>99</v>
      </c>
      <c r="AB61" t="s">
        <v>226</v>
      </c>
      <c r="AC61">
        <v>0.36649999999999999</v>
      </c>
      <c r="AD61" s="26">
        <v>1.5120188375392583</v>
      </c>
      <c r="AE61" s="26">
        <f t="shared" si="6"/>
        <v>0.14589858743217815</v>
      </c>
      <c r="AF61" s="26">
        <f t="shared" si="25"/>
        <v>0.22060141256782184</v>
      </c>
      <c r="AG61" s="84">
        <v>170</v>
      </c>
      <c r="AH61" s="26">
        <v>0.40689999999999998</v>
      </c>
      <c r="AI61" s="26">
        <f t="shared" si="26"/>
        <v>0.27796616961789372</v>
      </c>
      <c r="AJ61" s="26">
        <f t="shared" si="7"/>
        <v>277.96616961789374</v>
      </c>
      <c r="AK61" s="26">
        <f t="shared" si="27"/>
        <v>0.11065449249981972</v>
      </c>
      <c r="AL61" s="26">
        <v>0.97909999999999997</v>
      </c>
      <c r="AM61" s="26">
        <v>1.0738000000000001</v>
      </c>
      <c r="AN61" s="77">
        <f t="shared" si="9"/>
        <v>9.4700000000000117E-2</v>
      </c>
      <c r="AO61" s="79">
        <v>0.97970000000000002</v>
      </c>
      <c r="AP61" s="77">
        <v>1.0278</v>
      </c>
      <c r="AQ61" s="26">
        <f t="shared" si="10"/>
        <v>4.8100000000000032E-2</v>
      </c>
    </row>
    <row r="62" spans="1:43" x14ac:dyDescent="0.3">
      <c r="A62" t="s">
        <v>49</v>
      </c>
      <c r="B62" t="s">
        <v>70</v>
      </c>
      <c r="C62" t="s">
        <v>149</v>
      </c>
      <c r="D62" t="s">
        <v>185</v>
      </c>
      <c r="E62" t="s">
        <v>252</v>
      </c>
      <c r="F62">
        <v>44</v>
      </c>
      <c r="G62" t="s">
        <v>225</v>
      </c>
      <c r="H62" s="8">
        <v>0.35089999999999999</v>
      </c>
      <c r="I62" s="8">
        <f t="shared" si="2"/>
        <v>350.9</v>
      </c>
      <c r="J62" s="25">
        <f t="shared" ref="J62" si="35">J61</f>
        <v>1.5153219321909572</v>
      </c>
      <c r="K62" s="25">
        <f t="shared" si="11"/>
        <v>0.13950500550613434</v>
      </c>
      <c r="L62" s="25">
        <f t="shared" si="3"/>
        <v>0.21139499449386562</v>
      </c>
      <c r="M62" s="47">
        <v>150</v>
      </c>
      <c r="N62" s="26">
        <v>0.97399999999999998</v>
      </c>
      <c r="O62" s="26">
        <v>1.071</v>
      </c>
      <c r="P62" s="26">
        <f t="shared" si="4"/>
        <v>9.6999999999999975E-2</v>
      </c>
      <c r="Q62" s="75">
        <v>0.98240000000000005</v>
      </c>
      <c r="R62" s="26">
        <v>1.0302</v>
      </c>
      <c r="S62" s="26">
        <f t="shared" si="5"/>
        <v>4.7799999999999954E-2</v>
      </c>
      <c r="T62" s="26"/>
      <c r="V62" t="s">
        <v>8</v>
      </c>
      <c r="W62" t="s">
        <v>29</v>
      </c>
      <c r="X62" t="s">
        <v>177</v>
      </c>
      <c r="Y62" t="s">
        <v>186</v>
      </c>
      <c r="Z62" t="s">
        <v>216</v>
      </c>
      <c r="AA62">
        <v>100</v>
      </c>
      <c r="AB62" t="s">
        <v>225</v>
      </c>
      <c r="AC62">
        <v>0.3609</v>
      </c>
      <c r="AD62" s="26">
        <v>1.5120188375392583</v>
      </c>
      <c r="AE62" s="26">
        <f t="shared" si="6"/>
        <v>0.14366930478655687</v>
      </c>
      <c r="AF62" s="26">
        <f t="shared" si="25"/>
        <v>0.21723069521344313</v>
      </c>
      <c r="AG62" s="84">
        <v>180</v>
      </c>
      <c r="AH62" s="26">
        <v>0.42009999999999997</v>
      </c>
      <c r="AI62" s="26">
        <f t="shared" si="26"/>
        <v>0.28029966722129784</v>
      </c>
      <c r="AJ62" s="26">
        <f t="shared" si="7"/>
        <v>280.29966722129785</v>
      </c>
      <c r="AK62" s="26">
        <f t="shared" si="27"/>
        <v>0.11158342566247466</v>
      </c>
      <c r="AL62" s="26">
        <v>0.97699999999999998</v>
      </c>
      <c r="AM62" s="26">
        <v>1.0716000000000001</v>
      </c>
      <c r="AN62" s="77">
        <f t="shared" si="9"/>
        <v>9.4600000000000128E-2</v>
      </c>
      <c r="AO62" s="79">
        <v>0.98019999999999996</v>
      </c>
      <c r="AP62" s="77">
        <v>1.0289999999999999</v>
      </c>
      <c r="AQ62" s="26">
        <f t="shared" si="10"/>
        <v>4.8799999999999955E-2</v>
      </c>
    </row>
    <row r="63" spans="1:43" x14ac:dyDescent="0.3">
      <c r="A63" t="s">
        <v>53</v>
      </c>
      <c r="B63" t="s">
        <v>74</v>
      </c>
      <c r="C63" t="s">
        <v>150</v>
      </c>
      <c r="D63" t="s">
        <v>185</v>
      </c>
      <c r="E63" t="s">
        <v>150</v>
      </c>
      <c r="F63">
        <v>45</v>
      </c>
      <c r="G63" t="s">
        <v>226</v>
      </c>
      <c r="H63" s="8">
        <v>0.34920000000000001</v>
      </c>
      <c r="I63" s="8">
        <f t="shared" si="2"/>
        <v>349.2</v>
      </c>
      <c r="J63" s="25">
        <f>'3_Pre-incubation'!K34</f>
        <v>1.5468099615830533</v>
      </c>
      <c r="K63" s="25">
        <f t="shared" si="11"/>
        <v>0.13711270384027527</v>
      </c>
      <c r="L63" s="25">
        <f t="shared" si="3"/>
        <v>0.21208729615972474</v>
      </c>
      <c r="M63" s="47">
        <v>150</v>
      </c>
      <c r="N63" s="26">
        <v>0.98229999999999995</v>
      </c>
      <c r="O63" s="26">
        <v>1.0777000000000001</v>
      </c>
      <c r="P63" s="26">
        <f t="shared" si="4"/>
        <v>9.5400000000000151E-2</v>
      </c>
      <c r="Q63" s="75">
        <v>0.98560000000000003</v>
      </c>
      <c r="R63" s="26">
        <v>1.0335000000000001</v>
      </c>
      <c r="S63" s="26">
        <f t="shared" si="5"/>
        <v>4.7900000000000054E-2</v>
      </c>
      <c r="T63" s="26"/>
      <c r="V63" t="s">
        <v>12</v>
      </c>
      <c r="W63" t="s">
        <v>33</v>
      </c>
      <c r="X63" t="s">
        <v>178</v>
      </c>
      <c r="Y63" t="s">
        <v>186</v>
      </c>
      <c r="Z63" t="s">
        <v>178</v>
      </c>
      <c r="AA63">
        <v>101</v>
      </c>
      <c r="AB63" t="s">
        <v>226</v>
      </c>
      <c r="AC63">
        <v>0.3639</v>
      </c>
      <c r="AD63" s="26">
        <v>1.5319529114988435</v>
      </c>
      <c r="AE63" s="26">
        <f t="shared" si="6"/>
        <v>0.14372305201544275</v>
      </c>
      <c r="AF63" s="26">
        <f t="shared" si="25"/>
        <v>0.22017694798455725</v>
      </c>
      <c r="AG63" s="84">
        <v>180</v>
      </c>
      <c r="AH63" s="26">
        <v>0.42759999999999998</v>
      </c>
      <c r="AI63" s="26">
        <f t="shared" si="26"/>
        <v>0.28608869277440707</v>
      </c>
      <c r="AJ63" s="26">
        <f t="shared" si="7"/>
        <v>286.08869277440709</v>
      </c>
      <c r="AK63" s="26">
        <f t="shared" si="27"/>
        <v>0.11299131649531775</v>
      </c>
      <c r="AL63" s="26">
        <v>0.98499999999999999</v>
      </c>
      <c r="AM63" s="26">
        <v>1.0804</v>
      </c>
      <c r="AN63" s="77">
        <f t="shared" si="9"/>
        <v>9.540000000000004E-2</v>
      </c>
      <c r="AO63" s="79">
        <v>0.98180000000000001</v>
      </c>
      <c r="AP63" s="77">
        <v>1.0278</v>
      </c>
      <c r="AQ63" s="26">
        <f t="shared" si="10"/>
        <v>4.6000000000000041E-2</v>
      </c>
    </row>
    <row r="64" spans="1:43" x14ac:dyDescent="0.3">
      <c r="A64" t="s">
        <v>53</v>
      </c>
      <c r="B64" t="s">
        <v>74</v>
      </c>
      <c r="C64" t="s">
        <v>150</v>
      </c>
      <c r="D64" t="s">
        <v>185</v>
      </c>
      <c r="E64" t="s">
        <v>253</v>
      </c>
      <c r="F64">
        <v>46</v>
      </c>
      <c r="G64" t="s">
        <v>225</v>
      </c>
      <c r="H64" s="8">
        <v>0.35460000000000003</v>
      </c>
      <c r="I64" s="8">
        <f t="shared" si="2"/>
        <v>354.6</v>
      </c>
      <c r="J64" s="25">
        <f t="shared" ref="J64" si="36">J63</f>
        <v>1.5468099615830533</v>
      </c>
      <c r="K64" s="25">
        <f t="shared" si="11"/>
        <v>0.13923300338419706</v>
      </c>
      <c r="L64" s="25">
        <f t="shared" si="3"/>
        <v>0.21536699661580297</v>
      </c>
      <c r="M64" s="47">
        <v>150</v>
      </c>
      <c r="N64" s="26">
        <v>0.98060000000000003</v>
      </c>
      <c r="O64" s="26">
        <v>1.0789</v>
      </c>
      <c r="P64" s="26">
        <f t="shared" si="4"/>
        <v>9.8299999999999943E-2</v>
      </c>
      <c r="Q64" s="75">
        <v>0.98170000000000002</v>
      </c>
      <c r="R64" s="26">
        <v>1.0294000000000001</v>
      </c>
      <c r="S64" s="26">
        <f t="shared" si="5"/>
        <v>4.7700000000000076E-2</v>
      </c>
      <c r="T64" s="26"/>
      <c r="V64" t="s">
        <v>12</v>
      </c>
      <c r="W64" t="s">
        <v>33</v>
      </c>
      <c r="X64" t="s">
        <v>178</v>
      </c>
      <c r="Y64" t="s">
        <v>186</v>
      </c>
      <c r="Z64" t="s">
        <v>217</v>
      </c>
      <c r="AA64">
        <v>102</v>
      </c>
      <c r="AB64" t="s">
        <v>225</v>
      </c>
      <c r="AC64">
        <v>0.36330000000000001</v>
      </c>
      <c r="AD64" s="26">
        <v>1.5319529114988435</v>
      </c>
      <c r="AE64" s="26">
        <f t="shared" si="6"/>
        <v>0.14348608078376024</v>
      </c>
      <c r="AF64" s="26">
        <f t="shared" si="25"/>
        <v>0.21981391921623974</v>
      </c>
      <c r="AG64" s="84">
        <v>160</v>
      </c>
      <c r="AH64" s="26">
        <v>0.44669999999999999</v>
      </c>
      <c r="AI64" s="26">
        <f t="shared" si="26"/>
        <v>0.31012060003821895</v>
      </c>
      <c r="AJ64" s="26">
        <f t="shared" si="7"/>
        <v>310.12060003821892</v>
      </c>
      <c r="AK64" s="26">
        <f t="shared" si="27"/>
        <v>0.12248276760196004</v>
      </c>
      <c r="AL64" s="26">
        <v>0.98040000000000005</v>
      </c>
      <c r="AM64" s="26">
        <v>1.0780000000000001</v>
      </c>
      <c r="AN64" s="77">
        <f t="shared" si="9"/>
        <v>9.760000000000002E-2</v>
      </c>
      <c r="AO64" s="79">
        <v>0.98070000000000002</v>
      </c>
      <c r="AP64" s="77">
        <v>1.0288999999999999</v>
      </c>
      <c r="AQ64" s="26">
        <f t="shared" si="10"/>
        <v>4.819999999999991E-2</v>
      </c>
    </row>
    <row r="65" spans="1:43" x14ac:dyDescent="0.3">
      <c r="A65" t="s">
        <v>54</v>
      </c>
      <c r="B65" t="s">
        <v>75</v>
      </c>
      <c r="C65" t="s">
        <v>151</v>
      </c>
      <c r="D65" t="s">
        <v>185</v>
      </c>
      <c r="E65" t="s">
        <v>151</v>
      </c>
      <c r="F65">
        <v>47</v>
      </c>
      <c r="G65" t="s">
        <v>226</v>
      </c>
      <c r="H65" s="8">
        <v>0.3579</v>
      </c>
      <c r="I65" s="8">
        <f t="shared" si="2"/>
        <v>357.9</v>
      </c>
      <c r="J65" s="25">
        <f>'3_Pre-incubation'!K35</f>
        <v>1.5481571834188348</v>
      </c>
      <c r="K65" s="25">
        <f t="shared" si="11"/>
        <v>0.14045444383450847</v>
      </c>
      <c r="L65" s="25">
        <f t="shared" si="3"/>
        <v>0.21744555616549158</v>
      </c>
      <c r="M65" s="47">
        <v>150</v>
      </c>
      <c r="N65" s="26">
        <v>0.97789999999999999</v>
      </c>
      <c r="O65" s="26">
        <v>1.0763</v>
      </c>
      <c r="P65" s="26">
        <f t="shared" si="4"/>
        <v>9.8400000000000043E-2</v>
      </c>
      <c r="Q65" s="75">
        <v>0.97589999999999999</v>
      </c>
      <c r="R65" s="26">
        <v>1.0239</v>
      </c>
      <c r="S65" s="26">
        <f t="shared" si="5"/>
        <v>4.8000000000000043E-2</v>
      </c>
      <c r="T65" s="26"/>
      <c r="V65" t="s">
        <v>13</v>
      </c>
      <c r="W65" t="s">
        <v>34</v>
      </c>
      <c r="X65" t="s">
        <v>179</v>
      </c>
      <c r="Y65" t="s">
        <v>186</v>
      </c>
      <c r="Z65" t="s">
        <v>179</v>
      </c>
      <c r="AA65">
        <v>103</v>
      </c>
      <c r="AB65" t="s">
        <v>226</v>
      </c>
      <c r="AC65">
        <v>0.36709999999999998</v>
      </c>
      <c r="AD65" s="26">
        <v>1.4987583827749777</v>
      </c>
      <c r="AE65" s="26">
        <f t="shared" si="6"/>
        <v>0.14691296386660635</v>
      </c>
      <c r="AF65" s="26">
        <f t="shared" si="25"/>
        <v>0.22018703613339369</v>
      </c>
      <c r="AG65" s="84">
        <v>190</v>
      </c>
      <c r="AH65" s="26">
        <v>0.45040000000000002</v>
      </c>
      <c r="AI65" s="26">
        <f t="shared" si="26"/>
        <v>0.29679023514629332</v>
      </c>
      <c r="AJ65" s="26">
        <f t="shared" si="7"/>
        <v>296.7902351462933</v>
      </c>
      <c r="AK65" s="26">
        <f t="shared" si="27"/>
        <v>0.11877508333426585</v>
      </c>
      <c r="AL65" s="26">
        <v>0.98119999999999996</v>
      </c>
      <c r="AM65" s="26">
        <v>1.0768</v>
      </c>
      <c r="AN65" s="77">
        <f t="shared" si="9"/>
        <v>9.5600000000000018E-2</v>
      </c>
      <c r="AO65" s="79">
        <v>0.98140000000000005</v>
      </c>
      <c r="AP65" s="77">
        <v>1.0304</v>
      </c>
      <c r="AQ65" s="26">
        <f t="shared" si="10"/>
        <v>4.8999999999999932E-2</v>
      </c>
    </row>
    <row r="66" spans="1:43" x14ac:dyDescent="0.3">
      <c r="A66" t="s">
        <v>54</v>
      </c>
      <c r="B66" t="s">
        <v>75</v>
      </c>
      <c r="C66" t="s">
        <v>151</v>
      </c>
      <c r="D66" t="s">
        <v>185</v>
      </c>
      <c r="E66" t="s">
        <v>254</v>
      </c>
      <c r="F66">
        <v>48</v>
      </c>
      <c r="G66" t="s">
        <v>225</v>
      </c>
      <c r="H66" s="8">
        <v>0.35780000000000001</v>
      </c>
      <c r="I66" s="8">
        <f t="shared" si="2"/>
        <v>357.8</v>
      </c>
      <c r="J66" s="25">
        <f t="shared" ref="J66" si="37">J65</f>
        <v>1.5481571834188348</v>
      </c>
      <c r="K66" s="25">
        <f t="shared" si="11"/>
        <v>0.14041519978761421</v>
      </c>
      <c r="L66" s="25">
        <f t="shared" si="3"/>
        <v>0.21738480021238579</v>
      </c>
      <c r="M66" s="47">
        <v>150</v>
      </c>
      <c r="N66" s="26">
        <v>0.98140000000000005</v>
      </c>
      <c r="O66" s="26">
        <v>1.081</v>
      </c>
      <c r="P66" s="26">
        <f t="shared" si="4"/>
        <v>9.9599999999999911E-2</v>
      </c>
      <c r="Q66" s="75">
        <v>0.98009999999999997</v>
      </c>
      <c r="R66" s="26">
        <v>1.028</v>
      </c>
      <c r="S66" s="26">
        <f t="shared" si="5"/>
        <v>4.7900000000000054E-2</v>
      </c>
      <c r="T66" s="26"/>
      <c r="V66" t="s">
        <v>13</v>
      </c>
      <c r="W66" t="s">
        <v>34</v>
      </c>
      <c r="X66" t="s">
        <v>179</v>
      </c>
      <c r="Y66" t="s">
        <v>186</v>
      </c>
      <c r="Z66" t="s">
        <v>218</v>
      </c>
      <c r="AA66">
        <v>104</v>
      </c>
      <c r="AB66" t="s">
        <v>225</v>
      </c>
      <c r="AC66">
        <v>0.35749999999999998</v>
      </c>
      <c r="AD66" s="26">
        <v>1.4987583827749777</v>
      </c>
      <c r="AE66" s="26">
        <f t="shared" si="6"/>
        <v>0.14307105579491083</v>
      </c>
      <c r="AF66" s="26">
        <f t="shared" si="25"/>
        <v>0.21442894420508918</v>
      </c>
      <c r="AG66" s="84">
        <v>154</v>
      </c>
      <c r="AH66" s="26">
        <v>0.40899999999999997</v>
      </c>
      <c r="AI66" s="26">
        <f t="shared" si="26"/>
        <v>0.28586021505376341</v>
      </c>
      <c r="AJ66" s="26">
        <f t="shared" si="7"/>
        <v>285.8602150537634</v>
      </c>
      <c r="AK66" s="26">
        <f t="shared" si="27"/>
        <v>0.11440090287413204</v>
      </c>
      <c r="AL66" s="26">
        <v>0.98060000000000003</v>
      </c>
      <c r="AM66" s="26">
        <v>1.0764</v>
      </c>
      <c r="AN66" s="77">
        <f t="shared" si="9"/>
        <v>9.5799999999999996E-2</v>
      </c>
      <c r="AO66" s="79">
        <v>0.97699999999999998</v>
      </c>
      <c r="AP66" s="77">
        <v>1.0263</v>
      </c>
      <c r="AQ66" s="26">
        <f t="shared" si="10"/>
        <v>4.930000000000001E-2</v>
      </c>
    </row>
    <row r="67" spans="1:43" x14ac:dyDescent="0.3">
      <c r="A67" t="s">
        <v>58</v>
      </c>
      <c r="B67" t="s">
        <v>79</v>
      </c>
      <c r="C67" t="s">
        <v>152</v>
      </c>
      <c r="D67" t="s">
        <v>185</v>
      </c>
      <c r="E67" t="s">
        <v>152</v>
      </c>
      <c r="F67">
        <v>49</v>
      </c>
      <c r="G67" t="s">
        <v>226</v>
      </c>
      <c r="H67" s="8">
        <v>0.35439999999999999</v>
      </c>
      <c r="I67" s="8">
        <f t="shared" si="2"/>
        <v>354.4</v>
      </c>
      <c r="J67" s="25">
        <f>'3_Pre-incubation'!K36</f>
        <v>1.5451948365467854</v>
      </c>
      <c r="K67" s="25">
        <f t="shared" si="11"/>
        <v>0.13924277816029015</v>
      </c>
      <c r="L67" s="25">
        <f t="shared" si="3"/>
        <v>0.21515722183970984</v>
      </c>
      <c r="M67" s="47">
        <v>150</v>
      </c>
      <c r="N67" s="26">
        <v>0.98070000000000002</v>
      </c>
      <c r="O67" s="26">
        <v>1.075</v>
      </c>
      <c r="P67" s="26">
        <f t="shared" si="4"/>
        <v>9.4299999999999939E-2</v>
      </c>
      <c r="Q67" s="75">
        <v>0.98160000000000003</v>
      </c>
      <c r="R67" s="26">
        <v>1.0290999999999999</v>
      </c>
      <c r="S67" s="26">
        <f t="shared" si="5"/>
        <v>4.7499999999999876E-2</v>
      </c>
      <c r="T67" s="26"/>
      <c r="V67" t="s">
        <v>17</v>
      </c>
      <c r="W67" t="s">
        <v>38</v>
      </c>
      <c r="X67" t="s">
        <v>180</v>
      </c>
      <c r="Y67" t="s">
        <v>186</v>
      </c>
      <c r="Z67" t="s">
        <v>180</v>
      </c>
      <c r="AA67">
        <v>105</v>
      </c>
      <c r="AB67" t="s">
        <v>226</v>
      </c>
      <c r="AC67">
        <v>0.36170000000000002</v>
      </c>
      <c r="AD67" s="26">
        <v>1.4955449731320658</v>
      </c>
      <c r="AE67" s="26">
        <f t="shared" si="6"/>
        <v>0.14493828157544433</v>
      </c>
      <c r="AF67" s="26">
        <f t="shared" si="25"/>
        <v>0.21676171842455569</v>
      </c>
      <c r="AG67" s="84">
        <v>175</v>
      </c>
      <c r="AH67" s="26">
        <v>0.37069999999999997</v>
      </c>
      <c r="AI67" s="26">
        <f t="shared" si="26"/>
        <v>0.24982707285261785</v>
      </c>
      <c r="AJ67" s="26">
        <f t="shared" si="7"/>
        <v>249.82707285261785</v>
      </c>
      <c r="AK67" s="26">
        <f t="shared" si="27"/>
        <v>0.1001092248556311</v>
      </c>
      <c r="AL67" s="26">
        <v>0.98129999999999995</v>
      </c>
      <c r="AM67" s="26">
        <v>1.0767</v>
      </c>
      <c r="AN67" s="77">
        <f t="shared" si="9"/>
        <v>9.540000000000004E-2</v>
      </c>
      <c r="AO67" s="79">
        <v>0.98050000000000004</v>
      </c>
      <c r="AP67" s="77">
        <v>1.0286</v>
      </c>
      <c r="AQ67" s="26">
        <f t="shared" si="10"/>
        <v>4.8099999999999921E-2</v>
      </c>
    </row>
    <row r="68" spans="1:43" x14ac:dyDescent="0.3">
      <c r="A68" t="s">
        <v>58</v>
      </c>
      <c r="B68" t="s">
        <v>79</v>
      </c>
      <c r="C68" t="s">
        <v>152</v>
      </c>
      <c r="D68" t="s">
        <v>185</v>
      </c>
      <c r="E68" t="s">
        <v>255</v>
      </c>
      <c r="F68">
        <v>50</v>
      </c>
      <c r="G68" t="s">
        <v>225</v>
      </c>
      <c r="H68" s="8">
        <v>0.35539999999999999</v>
      </c>
      <c r="I68" s="8">
        <f t="shared" si="2"/>
        <v>355.4</v>
      </c>
      <c r="J68" s="25">
        <f t="shared" ref="J68" si="38">J67</f>
        <v>1.5451948365467854</v>
      </c>
      <c r="K68" s="25">
        <f t="shared" si="11"/>
        <v>0.1396356753898621</v>
      </c>
      <c r="L68" s="25">
        <f t="shared" si="3"/>
        <v>0.21576432461013795</v>
      </c>
      <c r="M68" s="47">
        <v>150</v>
      </c>
      <c r="N68" s="26">
        <v>0.98170000000000002</v>
      </c>
      <c r="O68" s="26">
        <v>1.0801000000000001</v>
      </c>
      <c r="P68" s="26">
        <f t="shared" si="4"/>
        <v>9.8400000000000043E-2</v>
      </c>
      <c r="Q68" s="75">
        <v>0.9758</v>
      </c>
      <c r="R68" s="26">
        <v>1.0237000000000001</v>
      </c>
      <c r="S68" s="26">
        <f t="shared" si="5"/>
        <v>4.7900000000000054E-2</v>
      </c>
      <c r="T68" s="26"/>
      <c r="V68" t="s">
        <v>17</v>
      </c>
      <c r="W68" t="s">
        <v>38</v>
      </c>
      <c r="X68" t="s">
        <v>180</v>
      </c>
      <c r="Y68" t="s">
        <v>186</v>
      </c>
      <c r="Z68" t="s">
        <v>219</v>
      </c>
      <c r="AA68">
        <v>106</v>
      </c>
      <c r="AB68" t="s">
        <v>225</v>
      </c>
      <c r="AC68">
        <v>0.36149999999999999</v>
      </c>
      <c r="AD68" s="26">
        <v>1.4955449731320658</v>
      </c>
      <c r="AE68" s="26">
        <f t="shared" si="6"/>
        <v>0.14485813876008605</v>
      </c>
      <c r="AF68" s="26">
        <f t="shared" si="25"/>
        <v>0.21664186123991394</v>
      </c>
      <c r="AG68" s="84">
        <v>142</v>
      </c>
      <c r="AH68" s="26">
        <v>0.39689999999999998</v>
      </c>
      <c r="AI68" s="26">
        <f t="shared" si="26"/>
        <v>0.28496395233366434</v>
      </c>
      <c r="AJ68" s="26">
        <f t="shared" si="7"/>
        <v>284.96395233366434</v>
      </c>
      <c r="AK68" s="26">
        <f t="shared" si="27"/>
        <v>0.11418906707820883</v>
      </c>
      <c r="AL68" s="26">
        <v>0.98380000000000001</v>
      </c>
      <c r="AM68" s="26">
        <v>1.0797000000000001</v>
      </c>
      <c r="AN68" s="77">
        <f t="shared" si="9"/>
        <v>9.5900000000000096E-2</v>
      </c>
      <c r="AO68" s="79">
        <v>0.98329999999999995</v>
      </c>
      <c r="AP68" s="77">
        <v>1.0318000000000001</v>
      </c>
      <c r="AQ68" s="26">
        <f t="shared" si="10"/>
        <v>4.8500000000000099E-2</v>
      </c>
    </row>
    <row r="69" spans="1:43" x14ac:dyDescent="0.3">
      <c r="A69" t="s">
        <v>59</v>
      </c>
      <c r="B69" t="s">
        <v>80</v>
      </c>
      <c r="C69" t="s">
        <v>153</v>
      </c>
      <c r="D69" t="s">
        <v>185</v>
      </c>
      <c r="E69" t="s">
        <v>153</v>
      </c>
      <c r="F69">
        <v>51</v>
      </c>
      <c r="G69" t="s">
        <v>226</v>
      </c>
      <c r="H69" s="8">
        <v>0.35189999999999999</v>
      </c>
      <c r="I69" s="8">
        <f t="shared" si="2"/>
        <v>351.9</v>
      </c>
      <c r="J69" s="25">
        <f>'3_Pre-incubation'!K37</f>
        <v>1.5534575257597261</v>
      </c>
      <c r="K69" s="25">
        <f t="shared" si="11"/>
        <v>0.13781314020302715</v>
      </c>
      <c r="L69" s="25">
        <f t="shared" si="3"/>
        <v>0.21408685979697278</v>
      </c>
      <c r="M69" s="47">
        <v>150</v>
      </c>
      <c r="N69" s="26">
        <v>0.98350000000000004</v>
      </c>
      <c r="O69" s="26">
        <v>1.0804</v>
      </c>
      <c r="P69" s="26">
        <f t="shared" si="4"/>
        <v>9.6899999999999986E-2</v>
      </c>
      <c r="Q69" s="75">
        <v>0.98029999999999995</v>
      </c>
      <c r="R69" s="26">
        <v>1.0281</v>
      </c>
      <c r="S69" s="26">
        <f t="shared" si="5"/>
        <v>4.7800000000000065E-2</v>
      </c>
      <c r="T69" s="26"/>
      <c r="V69" t="s">
        <v>23</v>
      </c>
      <c r="W69" t="s">
        <v>39</v>
      </c>
      <c r="X69" t="s">
        <v>181</v>
      </c>
      <c r="Y69" t="s">
        <v>186</v>
      </c>
      <c r="Z69" t="s">
        <v>181</v>
      </c>
      <c r="AA69">
        <v>107</v>
      </c>
      <c r="AB69" t="s">
        <v>226</v>
      </c>
      <c r="AC69">
        <v>0.35949999999999999</v>
      </c>
      <c r="AD69" s="26">
        <v>1.5254159967941041</v>
      </c>
      <c r="AE69" s="26">
        <f t="shared" si="6"/>
        <v>0.14235278483084302</v>
      </c>
      <c r="AF69" s="26">
        <f t="shared" si="25"/>
        <v>0.21714721516915703</v>
      </c>
      <c r="AG69" s="84">
        <v>168</v>
      </c>
      <c r="AH69" s="26">
        <v>0.3775</v>
      </c>
      <c r="AI69" s="26">
        <f t="shared" si="26"/>
        <v>0.25727251184834121</v>
      </c>
      <c r="AJ69" s="26">
        <f t="shared" si="7"/>
        <v>257.2725118483412</v>
      </c>
      <c r="AK69" s="26">
        <f t="shared" si="27"/>
        <v>0.10187331995003458</v>
      </c>
      <c r="AL69" s="26">
        <v>0.97270000000000001</v>
      </c>
      <c r="AM69" s="26">
        <v>1.0684</v>
      </c>
      <c r="AN69" s="77">
        <f t="shared" si="9"/>
        <v>9.5700000000000007E-2</v>
      </c>
      <c r="AO69" s="79">
        <v>0.98180000000000001</v>
      </c>
      <c r="AP69" s="77">
        <v>1.0306</v>
      </c>
      <c r="AQ69" s="26">
        <f t="shared" si="10"/>
        <v>4.8799999999999955E-2</v>
      </c>
    </row>
    <row r="70" spans="1:43" x14ac:dyDescent="0.3">
      <c r="A70" t="s">
        <v>59</v>
      </c>
      <c r="B70" t="s">
        <v>80</v>
      </c>
      <c r="C70" t="s">
        <v>153</v>
      </c>
      <c r="D70" t="s">
        <v>185</v>
      </c>
      <c r="E70" t="s">
        <v>256</v>
      </c>
      <c r="F70">
        <v>52</v>
      </c>
      <c r="G70" t="s">
        <v>225</v>
      </c>
      <c r="H70" s="8">
        <v>0.34789999999999999</v>
      </c>
      <c r="I70" s="8">
        <f t="shared" si="2"/>
        <v>347.9</v>
      </c>
      <c r="J70" s="25">
        <f t="shared" ref="J70" si="39">J69</f>
        <v>1.5534575257597261</v>
      </c>
      <c r="K70" s="25">
        <f t="shared" si="11"/>
        <v>0.13624663676224252</v>
      </c>
      <c r="L70" s="25">
        <f t="shared" si="3"/>
        <v>0.21165336323775741</v>
      </c>
      <c r="M70" s="47">
        <v>150</v>
      </c>
      <c r="N70" s="26">
        <v>0.98670000000000002</v>
      </c>
      <c r="O70" s="26">
        <v>1.0851999999999999</v>
      </c>
      <c r="P70" s="26">
        <f t="shared" si="4"/>
        <v>9.8499999999999921E-2</v>
      </c>
      <c r="Q70" s="75">
        <v>0.97729999999999995</v>
      </c>
      <c r="R70" s="26">
        <v>1.0258</v>
      </c>
      <c r="S70" s="26">
        <f t="shared" si="5"/>
        <v>4.8500000000000099E-2</v>
      </c>
      <c r="T70" s="26"/>
      <c r="V70" t="s">
        <v>23</v>
      </c>
      <c r="W70" t="s">
        <v>39</v>
      </c>
      <c r="X70" t="s">
        <v>181</v>
      </c>
      <c r="Y70" t="s">
        <v>186</v>
      </c>
      <c r="Z70" t="s">
        <v>220</v>
      </c>
      <c r="AA70">
        <v>108</v>
      </c>
      <c r="AB70" t="s">
        <v>225</v>
      </c>
      <c r="AC70">
        <v>0.35870000000000002</v>
      </c>
      <c r="AD70" s="26">
        <v>1.5254159967941041</v>
      </c>
      <c r="AE70" s="26">
        <f t="shared" si="6"/>
        <v>0.14203600533747815</v>
      </c>
      <c r="AF70" s="26">
        <f t="shared" si="25"/>
        <v>0.21666399466252192</v>
      </c>
      <c r="AG70" s="84">
        <v>145</v>
      </c>
      <c r="AH70" s="26">
        <v>0.37230000000000002</v>
      </c>
      <c r="AI70" s="26">
        <f t="shared" si="26"/>
        <v>0.26512608695652173</v>
      </c>
      <c r="AJ70" s="26">
        <f t="shared" si="7"/>
        <v>265.12608695652176</v>
      </c>
      <c r="AK70" s="26">
        <f t="shared" si="27"/>
        <v>0.10498313437987514</v>
      </c>
      <c r="AL70" s="26">
        <v>0.98640000000000005</v>
      </c>
      <c r="AM70" s="26">
        <v>1.0838000000000001</v>
      </c>
      <c r="AN70" s="77">
        <f t="shared" si="9"/>
        <v>9.7400000000000042E-2</v>
      </c>
      <c r="AO70" s="79">
        <v>0.98619999999999997</v>
      </c>
      <c r="AP70" s="77">
        <v>1.0326</v>
      </c>
      <c r="AQ70" s="26">
        <f t="shared" si="10"/>
        <v>4.6399999999999997E-2</v>
      </c>
    </row>
    <row r="71" spans="1:43" x14ac:dyDescent="0.3">
      <c r="A71" t="s">
        <v>63</v>
      </c>
      <c r="B71" t="s">
        <v>84</v>
      </c>
      <c r="C71" t="s">
        <v>154</v>
      </c>
      <c r="D71" t="s">
        <v>185</v>
      </c>
      <c r="E71" t="s">
        <v>154</v>
      </c>
      <c r="F71">
        <v>53</v>
      </c>
      <c r="G71" t="s">
        <v>226</v>
      </c>
      <c r="H71" s="8">
        <v>0.34910000000000002</v>
      </c>
      <c r="I71" s="8">
        <f t="shared" si="2"/>
        <v>349.1</v>
      </c>
      <c r="J71" s="25">
        <f>'3_Pre-incubation'!K38</f>
        <v>1.5085284851203604</v>
      </c>
      <c r="K71" s="25">
        <f t="shared" si="11"/>
        <v>0.13916525248596093</v>
      </c>
      <c r="L71" s="25">
        <f t="shared" si="3"/>
        <v>0.20993474751403912</v>
      </c>
      <c r="M71" s="47">
        <v>150</v>
      </c>
      <c r="N71" s="26">
        <v>0.97719999999999996</v>
      </c>
      <c r="O71" s="26">
        <v>1.0746</v>
      </c>
      <c r="P71" s="26">
        <f t="shared" si="4"/>
        <v>9.7400000000000042E-2</v>
      </c>
      <c r="Q71" s="75">
        <v>0.97660000000000002</v>
      </c>
      <c r="R71" s="26">
        <v>1.0248999999999999</v>
      </c>
      <c r="S71" s="26">
        <f t="shared" si="5"/>
        <v>4.8299999999999899E-2</v>
      </c>
      <c r="T71" s="26"/>
      <c r="V71" t="s">
        <v>21</v>
      </c>
      <c r="W71" t="s">
        <v>43</v>
      </c>
      <c r="X71" t="s">
        <v>182</v>
      </c>
      <c r="Y71" t="s">
        <v>186</v>
      </c>
      <c r="Z71" t="s">
        <v>182</v>
      </c>
      <c r="AA71">
        <v>109</v>
      </c>
      <c r="AB71" t="s">
        <v>226</v>
      </c>
      <c r="AC71">
        <v>0.3674</v>
      </c>
      <c r="AD71" s="26">
        <v>1.5518357412076411</v>
      </c>
      <c r="AE71" s="26">
        <f t="shared" si="6"/>
        <v>0.14397478413956619</v>
      </c>
      <c r="AF71" s="26">
        <f t="shared" si="25"/>
        <v>0.22342521586043382</v>
      </c>
      <c r="AG71" s="84">
        <v>160</v>
      </c>
      <c r="AH71" s="26">
        <v>0.38390000000000002</v>
      </c>
      <c r="AI71" s="26">
        <f t="shared" si="26"/>
        <v>0.26743431930223738</v>
      </c>
      <c r="AJ71" s="26">
        <f t="shared" si="7"/>
        <v>267.43431930223738</v>
      </c>
      <c r="AK71" s="26">
        <f t="shared" si="27"/>
        <v>0.10480075773830007</v>
      </c>
      <c r="AL71" s="26">
        <v>0.9839</v>
      </c>
      <c r="AM71" s="26">
        <v>1.0809</v>
      </c>
      <c r="AN71" s="77">
        <f t="shared" si="9"/>
        <v>9.6999999999999975E-2</v>
      </c>
      <c r="AO71" s="79">
        <v>0.98560000000000003</v>
      </c>
      <c r="AP71" s="77">
        <v>1.0293000000000001</v>
      </c>
      <c r="AQ71" s="26">
        <f t="shared" si="10"/>
        <v>4.3700000000000072E-2</v>
      </c>
    </row>
    <row r="72" spans="1:43" x14ac:dyDescent="0.3">
      <c r="A72" t="s">
        <v>63</v>
      </c>
      <c r="B72" t="s">
        <v>84</v>
      </c>
      <c r="C72" t="s">
        <v>154</v>
      </c>
      <c r="D72" t="s">
        <v>185</v>
      </c>
      <c r="E72" t="s">
        <v>257</v>
      </c>
      <c r="F72">
        <v>54</v>
      </c>
      <c r="G72" t="s">
        <v>225</v>
      </c>
      <c r="H72" s="8">
        <v>0.35499999999999998</v>
      </c>
      <c r="I72" s="8">
        <f t="shared" si="2"/>
        <v>355</v>
      </c>
      <c r="J72" s="25">
        <f t="shared" ref="J72" si="40">J71</f>
        <v>1.5085284851203604</v>
      </c>
      <c r="K72" s="25">
        <f t="shared" si="11"/>
        <v>0.14151722896739077</v>
      </c>
      <c r="L72" s="25">
        <f t="shared" si="3"/>
        <v>0.21348277103260918</v>
      </c>
      <c r="M72" s="47">
        <v>150</v>
      </c>
      <c r="N72" s="26">
        <v>0.98280000000000001</v>
      </c>
      <c r="O72" s="26">
        <v>1.0815999999999999</v>
      </c>
      <c r="P72" s="26">
        <f t="shared" si="4"/>
        <v>9.8799999999999888E-2</v>
      </c>
      <c r="Q72" s="75">
        <v>0.98199999999999998</v>
      </c>
      <c r="R72" s="26">
        <v>1.0304</v>
      </c>
      <c r="S72" s="26">
        <f t="shared" si="5"/>
        <v>4.8399999999999999E-2</v>
      </c>
      <c r="T72" s="26"/>
      <c r="V72" t="s">
        <v>21</v>
      </c>
      <c r="W72" t="s">
        <v>43</v>
      </c>
      <c r="X72" t="s">
        <v>182</v>
      </c>
      <c r="Y72" t="s">
        <v>186</v>
      </c>
      <c r="Z72" t="s">
        <v>221</v>
      </c>
      <c r="AA72">
        <v>110</v>
      </c>
      <c r="AB72" t="s">
        <v>225</v>
      </c>
      <c r="AC72">
        <v>0.35759999999999997</v>
      </c>
      <c r="AD72" s="26">
        <v>1.5518357412076411</v>
      </c>
      <c r="AE72" s="26">
        <f t="shared" si="6"/>
        <v>0.14013441156317055</v>
      </c>
      <c r="AF72" s="26">
        <f t="shared" si="25"/>
        <v>0.21746558843682942</v>
      </c>
      <c r="AG72" s="84">
        <v>164</v>
      </c>
      <c r="AH72" s="26">
        <v>0.39279999999999998</v>
      </c>
      <c r="AI72" s="26">
        <f t="shared" si="26"/>
        <v>0.26929693251533737</v>
      </c>
      <c r="AJ72" s="26">
        <f t="shared" si="7"/>
        <v>269.29693251533735</v>
      </c>
      <c r="AK72" s="26">
        <f t="shared" si="27"/>
        <v>0.10553066883054714</v>
      </c>
      <c r="AL72" s="26">
        <v>0.98180000000000001</v>
      </c>
      <c r="AM72" s="26">
        <v>1.0773999999999999</v>
      </c>
      <c r="AN72" s="77">
        <f t="shared" si="9"/>
        <v>9.5599999999999907E-2</v>
      </c>
      <c r="AO72" s="79">
        <v>0.98509999999999998</v>
      </c>
      <c r="AP72" s="77">
        <v>1.0334000000000001</v>
      </c>
      <c r="AQ72" s="26">
        <f t="shared" si="10"/>
        <v>4.8300000000000121E-2</v>
      </c>
    </row>
    <row r="73" spans="1:43" x14ac:dyDescent="0.3">
      <c r="A73" t="s">
        <v>64</v>
      </c>
      <c r="B73" t="s">
        <v>85</v>
      </c>
      <c r="C73" t="s">
        <v>155</v>
      </c>
      <c r="D73" t="s">
        <v>185</v>
      </c>
      <c r="E73" t="s">
        <v>155</v>
      </c>
      <c r="F73">
        <v>55</v>
      </c>
      <c r="G73" t="s">
        <v>226</v>
      </c>
      <c r="H73" s="8">
        <v>0.35449999999999998</v>
      </c>
      <c r="I73" s="8">
        <f t="shared" si="2"/>
        <v>354.5</v>
      </c>
      <c r="J73" s="25">
        <f>'3_Pre-incubation'!K39</f>
        <v>1.5189744591905319</v>
      </c>
      <c r="K73" s="25">
        <f t="shared" si="11"/>
        <v>0.14073187550854246</v>
      </c>
      <c r="L73" s="25">
        <f t="shared" si="3"/>
        <v>0.21376812449145755</v>
      </c>
      <c r="M73" s="47">
        <v>150</v>
      </c>
      <c r="N73" s="26">
        <v>0.98180000000000001</v>
      </c>
      <c r="O73" s="26">
        <v>1.0793999999999999</v>
      </c>
      <c r="P73" s="26">
        <f t="shared" si="4"/>
        <v>9.7599999999999909E-2</v>
      </c>
      <c r="Q73" s="75">
        <v>0.98089999999999999</v>
      </c>
      <c r="R73" s="26">
        <v>1.0291999999999999</v>
      </c>
      <c r="S73" s="26">
        <f t="shared" si="5"/>
        <v>4.8299999999999899E-2</v>
      </c>
      <c r="T73" s="26"/>
      <c r="V73" t="s">
        <v>22</v>
      </c>
      <c r="W73" t="s">
        <v>44</v>
      </c>
      <c r="X73" t="s">
        <v>183</v>
      </c>
      <c r="Y73" t="s">
        <v>186</v>
      </c>
      <c r="Z73" t="s">
        <v>183</v>
      </c>
      <c r="AA73">
        <v>111</v>
      </c>
      <c r="AB73" t="s">
        <v>226</v>
      </c>
      <c r="AC73">
        <v>0.36330000000000001</v>
      </c>
      <c r="AD73" s="26">
        <v>1.5658599959493571</v>
      </c>
      <c r="AE73" s="26">
        <f t="shared" si="6"/>
        <v>0.14158995446888387</v>
      </c>
      <c r="AF73" s="26">
        <f t="shared" si="25"/>
        <v>0.22171004553111615</v>
      </c>
      <c r="AG73" s="84">
        <v>153</v>
      </c>
      <c r="AH73" s="26">
        <v>0.39589999999999997</v>
      </c>
      <c r="AI73" s="26">
        <f t="shared" si="26"/>
        <v>0.27857925624636837</v>
      </c>
      <c r="AJ73" s="26">
        <f t="shared" si="7"/>
        <v>278.57925624636835</v>
      </c>
      <c r="AK73" s="26">
        <f t="shared" si="27"/>
        <v>0.10857149520478619</v>
      </c>
      <c r="AL73" s="26">
        <v>0.98080000000000001</v>
      </c>
      <c r="AM73" s="26">
        <v>1.0772999999999999</v>
      </c>
      <c r="AN73" s="77">
        <f t="shared" si="9"/>
        <v>9.6499999999999919E-2</v>
      </c>
      <c r="AO73" s="79">
        <v>0.97889999999999999</v>
      </c>
      <c r="AP73" s="77">
        <v>1.0277000000000001</v>
      </c>
      <c r="AQ73" s="26">
        <f t="shared" si="10"/>
        <v>4.8800000000000066E-2</v>
      </c>
    </row>
    <row r="74" spans="1:43" x14ac:dyDescent="0.3">
      <c r="A74" t="s">
        <v>64</v>
      </c>
      <c r="B74" t="s">
        <v>85</v>
      </c>
      <c r="C74" t="s">
        <v>155</v>
      </c>
      <c r="D74" t="s">
        <v>185</v>
      </c>
      <c r="E74" t="s">
        <v>258</v>
      </c>
      <c r="F74">
        <v>56</v>
      </c>
      <c r="G74" t="s">
        <v>225</v>
      </c>
      <c r="H74" s="8">
        <v>0.3483</v>
      </c>
      <c r="I74" s="8">
        <f t="shared" si="2"/>
        <v>348.3</v>
      </c>
      <c r="J74" s="25">
        <f t="shared" ref="J74" si="41">J73</f>
        <v>1.5189744591905319</v>
      </c>
      <c r="K74" s="25">
        <f t="shared" si="11"/>
        <v>0.1382705563882238</v>
      </c>
      <c r="L74" s="25">
        <f t="shared" si="3"/>
        <v>0.2100294436117762</v>
      </c>
      <c r="M74" s="47">
        <v>150</v>
      </c>
      <c r="N74" s="26">
        <v>0.98280000000000001</v>
      </c>
      <c r="O74" s="26">
        <v>1.0802</v>
      </c>
      <c r="P74" s="26">
        <f t="shared" si="4"/>
        <v>9.7400000000000042E-2</v>
      </c>
      <c r="Q74" s="75">
        <v>0.97909999999999997</v>
      </c>
      <c r="R74" s="26">
        <v>1.0256000000000001</v>
      </c>
      <c r="S74" s="26">
        <f t="shared" si="5"/>
        <v>4.6500000000000097E-2</v>
      </c>
      <c r="T74" s="26"/>
      <c r="V74" t="s">
        <v>22</v>
      </c>
      <c r="W74" t="s">
        <v>44</v>
      </c>
      <c r="X74" t="s">
        <v>183</v>
      </c>
      <c r="Y74" t="s">
        <v>186</v>
      </c>
      <c r="Z74" t="s">
        <v>194</v>
      </c>
      <c r="AA74">
        <v>112</v>
      </c>
      <c r="AB74" t="s">
        <v>225</v>
      </c>
      <c r="AC74">
        <v>0.36059999999999998</v>
      </c>
      <c r="AD74" s="26">
        <v>1.5658599959493571</v>
      </c>
      <c r="AE74" s="26">
        <f t="shared" si="6"/>
        <v>0.14053767569909031</v>
      </c>
      <c r="AF74" s="26">
        <f t="shared" si="25"/>
        <v>0.22006232430090963</v>
      </c>
      <c r="AG74" s="84">
        <v>140</v>
      </c>
      <c r="AH74" s="26">
        <v>0.41770000000000002</v>
      </c>
      <c r="AI74" s="26">
        <f t="shared" si="26"/>
        <v>0.30088417898521769</v>
      </c>
      <c r="AJ74" s="26">
        <f t="shared" si="7"/>
        <v>300.88417898521766</v>
      </c>
      <c r="AK74" s="26">
        <f t="shared" si="27"/>
        <v>0.1172644569307032</v>
      </c>
      <c r="AL74" s="26">
        <v>0.98370000000000002</v>
      </c>
      <c r="AM74" s="26">
        <v>1.0805</v>
      </c>
      <c r="AN74" s="77">
        <f t="shared" si="9"/>
        <v>9.6799999999999997E-2</v>
      </c>
      <c r="AO74" s="79">
        <v>0.98329999999999995</v>
      </c>
      <c r="AP74" s="77">
        <v>1.032</v>
      </c>
      <c r="AQ74" s="26">
        <f t="shared" si="10"/>
        <v>4.8700000000000077E-2</v>
      </c>
    </row>
    <row r="75" spans="1:43" x14ac:dyDescent="0.3">
      <c r="C75" t="s">
        <v>323</v>
      </c>
      <c r="F75">
        <v>122</v>
      </c>
      <c r="G75" t="s">
        <v>225</v>
      </c>
      <c r="M75" s="47">
        <v>150</v>
      </c>
      <c r="N75" s="26">
        <v>0.9839</v>
      </c>
      <c r="O75" s="26">
        <v>1.0834999999999999</v>
      </c>
      <c r="P75" s="26">
        <f t="shared" si="4"/>
        <v>9.9599999999999911E-2</v>
      </c>
      <c r="Q75" s="14">
        <v>0.98360000000000003</v>
      </c>
      <c r="R75" s="26">
        <v>1.0327</v>
      </c>
      <c r="S75" s="26">
        <f t="shared" si="5"/>
        <v>4.9099999999999921E-2</v>
      </c>
    </row>
    <row r="76" spans="1:43" x14ac:dyDescent="0.3">
      <c r="C76" t="s">
        <v>323</v>
      </c>
      <c r="F76">
        <v>123</v>
      </c>
      <c r="G76" t="s">
        <v>226</v>
      </c>
      <c r="M76" s="47">
        <v>150</v>
      </c>
      <c r="N76" s="26">
        <v>0.98440000000000005</v>
      </c>
      <c r="O76" s="26">
        <v>1.0778000000000001</v>
      </c>
      <c r="P76" s="26">
        <f t="shared" si="4"/>
        <v>9.3400000000000039E-2</v>
      </c>
      <c r="Q76" s="14">
        <v>0.9839</v>
      </c>
      <c r="R76" s="26">
        <v>1.0317000000000001</v>
      </c>
      <c r="S76" s="26">
        <f t="shared" si="5"/>
        <v>4.7800000000000065E-2</v>
      </c>
    </row>
  </sheetData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049A-274F-4BE7-827E-871E3BFD4070}">
  <dimension ref="A1:D64"/>
  <sheetViews>
    <sheetView workbookViewId="0">
      <selection activeCell="F12" sqref="F12"/>
    </sheetView>
  </sheetViews>
  <sheetFormatPr baseColWidth="10" defaultRowHeight="14.4" x14ac:dyDescent="0.3"/>
  <cols>
    <col min="2" max="2" width="11.5546875" customWidth="1"/>
    <col min="3" max="3" width="10.109375" bestFit="1" customWidth="1"/>
    <col min="4" max="4" width="12.109375" bestFit="1" customWidth="1"/>
  </cols>
  <sheetData>
    <row r="1" spans="1:4" ht="18" x14ac:dyDescent="0.35">
      <c r="A1" s="3" t="s">
        <v>288</v>
      </c>
    </row>
    <row r="2" spans="1:4" x14ac:dyDescent="0.3">
      <c r="A2" t="s">
        <v>289</v>
      </c>
    </row>
    <row r="3" spans="1:4" x14ac:dyDescent="0.3">
      <c r="A3" s="8" t="s">
        <v>417</v>
      </c>
    </row>
    <row r="4" spans="1:4" x14ac:dyDescent="0.3">
      <c r="A4" t="s">
        <v>290</v>
      </c>
    </row>
    <row r="5" spans="1:4" x14ac:dyDescent="0.3">
      <c r="A5" s="8" t="s">
        <v>418</v>
      </c>
    </row>
    <row r="8" spans="1:4" x14ac:dyDescent="0.3">
      <c r="A8" s="1" t="s">
        <v>283</v>
      </c>
      <c r="B8" s="1" t="s">
        <v>287</v>
      </c>
      <c r="C8" s="1" t="s">
        <v>286</v>
      </c>
      <c r="D8" s="1" t="s">
        <v>291</v>
      </c>
    </row>
    <row r="9" spans="1:4" x14ac:dyDescent="0.3">
      <c r="A9" t="s">
        <v>128</v>
      </c>
      <c r="B9" s="2">
        <v>45623.351388888892</v>
      </c>
      <c r="C9" s="2">
        <v>45623.36041666667</v>
      </c>
      <c r="D9" s="2">
        <v>45623.362500000003</v>
      </c>
    </row>
    <row r="10" spans="1:4" x14ac:dyDescent="0.3">
      <c r="A10" t="s">
        <v>129</v>
      </c>
      <c r="B10" s="2">
        <v>45623.509027777778</v>
      </c>
      <c r="C10" s="2">
        <v>45623.517361111109</v>
      </c>
      <c r="D10" s="2">
        <v>45623.519444444442</v>
      </c>
    </row>
    <row r="11" spans="1:4" x14ac:dyDescent="0.3">
      <c r="A11" t="s">
        <v>130</v>
      </c>
      <c r="B11" s="2">
        <v>45623.351388888892</v>
      </c>
      <c r="C11" s="2">
        <v>45623.36041666667</v>
      </c>
      <c r="D11" s="2">
        <v>45623.362500000003</v>
      </c>
    </row>
    <row r="12" spans="1:4" x14ac:dyDescent="0.3">
      <c r="A12" t="s">
        <v>131</v>
      </c>
      <c r="B12" s="2">
        <v>45623.351388888892</v>
      </c>
      <c r="C12" s="2">
        <v>45623.36041666667</v>
      </c>
      <c r="D12" s="2">
        <v>45623.362500000003</v>
      </c>
    </row>
    <row r="13" spans="1:4" x14ac:dyDescent="0.3">
      <c r="A13" t="s">
        <v>132</v>
      </c>
      <c r="B13" s="2">
        <v>45623.351388888892</v>
      </c>
      <c r="C13" s="2">
        <v>45623.36041666667</v>
      </c>
      <c r="D13" s="2">
        <v>45623.362500000003</v>
      </c>
    </row>
    <row r="14" spans="1:4" x14ac:dyDescent="0.3">
      <c r="A14" t="s">
        <v>133</v>
      </c>
      <c r="B14" s="2">
        <v>45623.351388888892</v>
      </c>
      <c r="C14" s="2">
        <v>45623.36041666667</v>
      </c>
      <c r="D14" s="2">
        <v>45623.362500000003</v>
      </c>
    </row>
    <row r="15" spans="1:4" x14ac:dyDescent="0.3">
      <c r="A15" t="s">
        <v>134</v>
      </c>
      <c r="B15" s="2">
        <v>45623.351388888892</v>
      </c>
      <c r="C15" s="2">
        <v>45623.36041666667</v>
      </c>
      <c r="D15" s="2">
        <v>45623.362500000003</v>
      </c>
    </row>
    <row r="16" spans="1:4" x14ac:dyDescent="0.3">
      <c r="A16" t="s">
        <v>135</v>
      </c>
      <c r="B16" s="2">
        <v>45623.351388888892</v>
      </c>
      <c r="C16" s="2">
        <v>45623.36041666667</v>
      </c>
      <c r="D16" s="2">
        <v>45623.362500000003</v>
      </c>
    </row>
    <row r="17" spans="1:4" x14ac:dyDescent="0.3">
      <c r="A17" t="s">
        <v>136</v>
      </c>
      <c r="B17" s="2">
        <v>45623.351388888892</v>
      </c>
      <c r="C17" s="2">
        <v>45623.36041666667</v>
      </c>
      <c r="D17" s="2">
        <v>45623.362500000003</v>
      </c>
    </row>
    <row r="18" spans="1:4" x14ac:dyDescent="0.3">
      <c r="A18" t="s">
        <v>137</v>
      </c>
      <c r="B18" s="2">
        <v>45623.351388888892</v>
      </c>
      <c r="C18" s="2">
        <v>45623.36041666667</v>
      </c>
      <c r="D18" s="2">
        <v>45623.362500000003</v>
      </c>
    </row>
    <row r="19" spans="1:4" x14ac:dyDescent="0.3">
      <c r="A19" t="s">
        <v>138</v>
      </c>
      <c r="B19" s="2">
        <v>45623.365277777775</v>
      </c>
      <c r="C19" s="2">
        <v>45623.374305555553</v>
      </c>
      <c r="D19" s="2">
        <v>45623.376388888886</v>
      </c>
    </row>
    <row r="20" spans="1:4" x14ac:dyDescent="0.3">
      <c r="A20" t="s">
        <v>139</v>
      </c>
      <c r="B20" s="2">
        <v>45623.365277777775</v>
      </c>
      <c r="C20" s="2">
        <v>45623.374305555553</v>
      </c>
      <c r="D20" s="2">
        <v>45623.376388888886</v>
      </c>
    </row>
    <row r="21" spans="1:4" x14ac:dyDescent="0.3">
      <c r="A21" t="s">
        <v>140</v>
      </c>
      <c r="B21" s="2">
        <v>45623.365277777775</v>
      </c>
      <c r="C21" s="2">
        <v>45623.374305555553</v>
      </c>
      <c r="D21" s="2">
        <v>45623.376388888886</v>
      </c>
    </row>
    <row r="22" spans="1:4" x14ac:dyDescent="0.3">
      <c r="A22" t="s">
        <v>141</v>
      </c>
      <c r="B22" s="2">
        <v>45623.365277777775</v>
      </c>
      <c r="C22" s="2">
        <v>45623.374305555553</v>
      </c>
      <c r="D22" s="2">
        <v>45623.376388888886</v>
      </c>
    </row>
    <row r="23" spans="1:4" x14ac:dyDescent="0.3">
      <c r="A23" t="s">
        <v>142</v>
      </c>
      <c r="B23" s="2">
        <v>45623.365277777775</v>
      </c>
      <c r="C23" s="2">
        <v>45623.374305555553</v>
      </c>
      <c r="D23" s="2">
        <v>45623.376388888886</v>
      </c>
    </row>
    <row r="24" spans="1:4" x14ac:dyDescent="0.3">
      <c r="A24" t="s">
        <v>143</v>
      </c>
      <c r="B24" s="2">
        <v>45623.365277777775</v>
      </c>
      <c r="C24" s="2">
        <v>45623.374305555553</v>
      </c>
      <c r="D24" s="2">
        <v>45623.376388888886</v>
      </c>
    </row>
    <row r="25" spans="1:4" x14ac:dyDescent="0.3">
      <c r="A25" t="s">
        <v>144</v>
      </c>
      <c r="B25" s="2">
        <v>45623.365277777775</v>
      </c>
      <c r="C25" s="2">
        <v>45623.374305555553</v>
      </c>
      <c r="D25" s="2">
        <v>45623.376388888886</v>
      </c>
    </row>
    <row r="26" spans="1:4" x14ac:dyDescent="0.3">
      <c r="A26" t="s">
        <v>145</v>
      </c>
      <c r="B26" s="2">
        <v>45623.365277777775</v>
      </c>
      <c r="C26" s="2">
        <v>45623.374305555553</v>
      </c>
      <c r="D26" s="2">
        <v>45623.376388888886</v>
      </c>
    </row>
    <row r="27" spans="1:4" x14ac:dyDescent="0.3">
      <c r="A27" t="s">
        <v>146</v>
      </c>
      <c r="B27" s="2">
        <v>45623.365277777775</v>
      </c>
      <c r="C27" s="2">
        <v>45623.374305555553</v>
      </c>
      <c r="D27" s="2">
        <v>45623.376388888886</v>
      </c>
    </row>
    <row r="28" spans="1:4" x14ac:dyDescent="0.3">
      <c r="A28" t="s">
        <v>147</v>
      </c>
      <c r="B28" s="2">
        <v>45623.365277777775</v>
      </c>
      <c r="C28" s="2">
        <v>45623.374305555553</v>
      </c>
      <c r="D28" s="2">
        <v>45623.376388888886</v>
      </c>
    </row>
    <row r="29" spans="1:4" x14ac:dyDescent="0.3">
      <c r="A29" t="s">
        <v>148</v>
      </c>
      <c r="B29" s="2">
        <v>45623.378472222219</v>
      </c>
      <c r="C29" s="2">
        <v>45623.387499999997</v>
      </c>
      <c r="D29" s="2">
        <v>45623.38958333333</v>
      </c>
    </row>
    <row r="30" spans="1:4" x14ac:dyDescent="0.3">
      <c r="A30" t="s">
        <v>149</v>
      </c>
      <c r="B30" s="2">
        <v>45623.378472222219</v>
      </c>
      <c r="C30" s="2">
        <v>45623.387499999997</v>
      </c>
      <c r="D30" s="2">
        <v>45623.38958333333</v>
      </c>
    </row>
    <row r="31" spans="1:4" x14ac:dyDescent="0.3">
      <c r="A31" t="s">
        <v>150</v>
      </c>
      <c r="B31" s="2">
        <v>45623.378472222219</v>
      </c>
      <c r="C31" s="2">
        <v>45623.387499999997</v>
      </c>
      <c r="D31" s="2">
        <v>45623.38958333333</v>
      </c>
    </row>
    <row r="32" spans="1:4" x14ac:dyDescent="0.3">
      <c r="A32" t="s">
        <v>151</v>
      </c>
      <c r="B32" s="2">
        <v>45623.378472222219</v>
      </c>
      <c r="C32" s="2">
        <v>45623.387499999997</v>
      </c>
      <c r="D32" s="2">
        <v>45623.38958333333</v>
      </c>
    </row>
    <row r="33" spans="1:4" x14ac:dyDescent="0.3">
      <c r="A33" t="s">
        <v>152</v>
      </c>
      <c r="B33" s="2">
        <v>45623.378472222219</v>
      </c>
      <c r="C33" s="2">
        <v>45623.387499999997</v>
      </c>
      <c r="D33" s="2">
        <v>45623.38958333333</v>
      </c>
    </row>
    <row r="34" spans="1:4" x14ac:dyDescent="0.3">
      <c r="A34" t="s">
        <v>153</v>
      </c>
      <c r="B34" s="2">
        <v>45623.378472222219</v>
      </c>
      <c r="C34" s="2">
        <v>45623.387499999997</v>
      </c>
      <c r="D34" s="2">
        <v>45623.38958333333</v>
      </c>
    </row>
    <row r="35" spans="1:4" x14ac:dyDescent="0.3">
      <c r="A35" t="s">
        <v>154</v>
      </c>
      <c r="B35" s="2">
        <v>45623.378472222219</v>
      </c>
      <c r="C35" s="2">
        <v>45623.387499999997</v>
      </c>
      <c r="D35" s="2">
        <v>45623.38958333333</v>
      </c>
    </row>
    <row r="36" spans="1:4" x14ac:dyDescent="0.3">
      <c r="A36" t="s">
        <v>155</v>
      </c>
      <c r="B36" s="2">
        <v>45623.378472222219</v>
      </c>
      <c r="C36" s="2">
        <v>45623.387499999997</v>
      </c>
      <c r="D36" s="2">
        <v>45623.38958333333</v>
      </c>
    </row>
    <row r="37" spans="1:4" x14ac:dyDescent="0.3">
      <c r="A37" t="s">
        <v>156</v>
      </c>
      <c r="B37" s="2">
        <v>45635.537499999999</v>
      </c>
      <c r="C37" s="2">
        <v>45635.552777777775</v>
      </c>
      <c r="D37" s="2">
        <v>45635.557638888888</v>
      </c>
    </row>
    <row r="38" spans="1:4" x14ac:dyDescent="0.3">
      <c r="A38" t="s">
        <v>157</v>
      </c>
      <c r="B38" s="2">
        <v>45635.537499999999</v>
      </c>
      <c r="C38" s="2">
        <v>45635.552777777775</v>
      </c>
      <c r="D38" s="2">
        <v>45635.557638888888</v>
      </c>
    </row>
    <row r="39" spans="1:4" x14ac:dyDescent="0.3">
      <c r="A39" t="s">
        <v>158</v>
      </c>
      <c r="B39" s="2">
        <v>45635.537499999999</v>
      </c>
      <c r="C39" s="2">
        <v>45635.552777777775</v>
      </c>
      <c r="D39" s="2">
        <v>45635.557638888888</v>
      </c>
    </row>
    <row r="40" spans="1:4" x14ac:dyDescent="0.3">
      <c r="A40" t="s">
        <v>159</v>
      </c>
      <c r="B40" s="2">
        <v>45635.537499999999</v>
      </c>
      <c r="C40" s="2">
        <v>45635.552777777775</v>
      </c>
      <c r="D40" s="2">
        <v>45635.557638888888</v>
      </c>
    </row>
    <row r="41" spans="1:4" x14ac:dyDescent="0.3">
      <c r="A41" t="s">
        <v>160</v>
      </c>
      <c r="B41" s="2">
        <v>45635.537499999999</v>
      </c>
      <c r="C41" s="2">
        <v>45635.552777777775</v>
      </c>
      <c r="D41" s="2">
        <v>45635.557638888888</v>
      </c>
    </row>
    <row r="42" spans="1:4" x14ac:dyDescent="0.3">
      <c r="A42" t="s">
        <v>161</v>
      </c>
      <c r="B42" s="2">
        <v>45635.638194444444</v>
      </c>
      <c r="C42" s="2">
        <v>45635.652083333334</v>
      </c>
      <c r="D42" s="2">
        <v>45635.654861111114</v>
      </c>
    </row>
    <row r="43" spans="1:4" x14ac:dyDescent="0.3">
      <c r="A43" t="s">
        <v>162</v>
      </c>
      <c r="B43" s="2">
        <v>45635.537499999999</v>
      </c>
      <c r="C43" s="2">
        <v>45635.552777777775</v>
      </c>
      <c r="D43" s="2">
        <v>45635.557638888888</v>
      </c>
    </row>
    <row r="44" spans="1:4" x14ac:dyDescent="0.3">
      <c r="A44" t="s">
        <v>163</v>
      </c>
      <c r="B44" s="2">
        <v>45635.537499999999</v>
      </c>
      <c r="C44" s="2">
        <v>45635.552777777775</v>
      </c>
      <c r="D44" s="2">
        <v>45635.557638888888</v>
      </c>
    </row>
    <row r="45" spans="1:4" x14ac:dyDescent="0.3">
      <c r="A45" t="s">
        <v>164</v>
      </c>
      <c r="B45" s="2">
        <v>45635.537499999999</v>
      </c>
      <c r="C45" s="2">
        <v>45635.552777777775</v>
      </c>
      <c r="D45" s="2">
        <v>45635.557638888888</v>
      </c>
    </row>
    <row r="46" spans="1:4" x14ac:dyDescent="0.3">
      <c r="A46" t="s">
        <v>165</v>
      </c>
      <c r="B46" s="2">
        <v>45635.537499999999</v>
      </c>
      <c r="C46" s="2">
        <v>45635.552777777775</v>
      </c>
      <c r="D46" s="2">
        <v>45635.557638888888</v>
      </c>
    </row>
    <row r="47" spans="1:4" x14ac:dyDescent="0.3">
      <c r="A47" t="s">
        <v>166</v>
      </c>
      <c r="B47" s="2">
        <v>45635.561111111114</v>
      </c>
      <c r="C47" s="2">
        <v>45635.574999999997</v>
      </c>
      <c r="D47" s="2">
        <v>45635.577777777777</v>
      </c>
    </row>
    <row r="48" spans="1:4" x14ac:dyDescent="0.3">
      <c r="A48" t="s">
        <v>167</v>
      </c>
      <c r="B48" s="2">
        <v>45635.561111111114</v>
      </c>
      <c r="C48" s="2">
        <v>45635.574999999997</v>
      </c>
      <c r="D48" s="2">
        <v>45635.577777777777</v>
      </c>
    </row>
    <row r="49" spans="1:4" x14ac:dyDescent="0.3">
      <c r="A49" t="s">
        <v>168</v>
      </c>
      <c r="B49" s="2">
        <v>45635.561111111114</v>
      </c>
      <c r="C49" s="2">
        <v>45635.574999999997</v>
      </c>
      <c r="D49" s="2">
        <v>45635.577777777777</v>
      </c>
    </row>
    <row r="50" spans="1:4" x14ac:dyDescent="0.3">
      <c r="A50" t="s">
        <v>169</v>
      </c>
      <c r="B50" s="2">
        <v>45635.561111111114</v>
      </c>
      <c r="C50" s="2">
        <v>45635.574999999997</v>
      </c>
      <c r="D50" s="2">
        <v>45635.577777777777</v>
      </c>
    </row>
    <row r="51" spans="1:4" x14ac:dyDescent="0.3">
      <c r="A51" t="s">
        <v>170</v>
      </c>
      <c r="B51" s="2">
        <v>45635.561111111114</v>
      </c>
      <c r="C51" s="2">
        <v>45635.574999999997</v>
      </c>
      <c r="D51" s="2">
        <v>45635.577777777777</v>
      </c>
    </row>
    <row r="52" spans="1:4" x14ac:dyDescent="0.3">
      <c r="A52" t="s">
        <v>171</v>
      </c>
      <c r="B52" s="2">
        <v>45635.561111111114</v>
      </c>
      <c r="C52" s="2">
        <v>45635.574999999997</v>
      </c>
      <c r="D52" s="2">
        <v>45635.577777777777</v>
      </c>
    </row>
    <row r="53" spans="1:4" x14ac:dyDescent="0.3">
      <c r="A53" t="s">
        <v>172</v>
      </c>
      <c r="B53" s="2">
        <v>45635.561111111114</v>
      </c>
      <c r="C53" s="2">
        <v>45635.574999999997</v>
      </c>
      <c r="D53" s="2">
        <v>45635.577777777777</v>
      </c>
    </row>
    <row r="54" spans="1:4" x14ac:dyDescent="0.3">
      <c r="A54" t="s">
        <v>173</v>
      </c>
      <c r="B54" s="2">
        <v>45635.561111111114</v>
      </c>
      <c r="C54" s="2">
        <v>45635.574999999997</v>
      </c>
      <c r="D54" s="2">
        <v>45635.577777777777</v>
      </c>
    </row>
    <row r="55" spans="1:4" x14ac:dyDescent="0.3">
      <c r="A55" t="s">
        <v>174</v>
      </c>
      <c r="B55" s="2">
        <v>45635.561111111114</v>
      </c>
      <c r="C55" s="2">
        <v>45635.574999999997</v>
      </c>
      <c r="D55" s="2">
        <v>45635.577777777777</v>
      </c>
    </row>
    <row r="56" spans="1:4" x14ac:dyDescent="0.3">
      <c r="A56" t="s">
        <v>175</v>
      </c>
      <c r="B56" s="2">
        <v>45635.561111111114</v>
      </c>
      <c r="C56" s="2">
        <v>45635.574999999997</v>
      </c>
      <c r="D56" s="2">
        <v>45635.577777777777</v>
      </c>
    </row>
    <row r="57" spans="1:4" x14ac:dyDescent="0.3">
      <c r="A57" t="s">
        <v>176</v>
      </c>
      <c r="B57" s="2">
        <v>45635.57916666667</v>
      </c>
      <c r="C57" s="2">
        <v>45635.593055555553</v>
      </c>
      <c r="D57" s="2">
        <v>45635.595833333333</v>
      </c>
    </row>
    <row r="58" spans="1:4" x14ac:dyDescent="0.3">
      <c r="A58" t="s">
        <v>177</v>
      </c>
      <c r="B58" s="2">
        <v>45635.57916666667</v>
      </c>
      <c r="C58" s="2">
        <v>45635.593055555553</v>
      </c>
      <c r="D58" s="2">
        <v>45635.595833333333</v>
      </c>
    </row>
    <row r="59" spans="1:4" x14ac:dyDescent="0.3">
      <c r="A59" t="s">
        <v>178</v>
      </c>
      <c r="B59" s="2">
        <v>45635.57916666667</v>
      </c>
      <c r="C59" s="2">
        <v>45635.593055555553</v>
      </c>
      <c r="D59" s="2">
        <v>45635.595833333333</v>
      </c>
    </row>
    <row r="60" spans="1:4" x14ac:dyDescent="0.3">
      <c r="A60" t="s">
        <v>179</v>
      </c>
      <c r="B60" s="2">
        <v>45635.57916666667</v>
      </c>
      <c r="C60" s="2">
        <v>45635.593055555553</v>
      </c>
      <c r="D60" s="2">
        <v>45635.595833333333</v>
      </c>
    </row>
    <row r="61" spans="1:4" x14ac:dyDescent="0.3">
      <c r="A61" t="s">
        <v>180</v>
      </c>
      <c r="B61" s="2">
        <v>45635.57916666667</v>
      </c>
      <c r="C61" s="2">
        <v>45635.593055555553</v>
      </c>
      <c r="D61" s="2">
        <v>45635.595833333333</v>
      </c>
    </row>
    <row r="62" spans="1:4" x14ac:dyDescent="0.3">
      <c r="A62" t="s">
        <v>181</v>
      </c>
      <c r="B62" s="2">
        <v>45635.57916666667</v>
      </c>
      <c r="C62" s="2">
        <v>45635.593055555553</v>
      </c>
      <c r="D62" s="2">
        <v>45635.595833333333</v>
      </c>
    </row>
    <row r="63" spans="1:4" x14ac:dyDescent="0.3">
      <c r="A63" t="s">
        <v>182</v>
      </c>
      <c r="B63" s="2">
        <v>45635.57916666667</v>
      </c>
      <c r="C63" s="2">
        <v>45635.593055555553</v>
      </c>
      <c r="D63" s="2">
        <v>45635.595833333333</v>
      </c>
    </row>
    <row r="64" spans="1:4" x14ac:dyDescent="0.3">
      <c r="A64" t="s">
        <v>183</v>
      </c>
      <c r="B64" s="2">
        <v>45635.57916666667</v>
      </c>
      <c r="C64" s="2">
        <v>45635.593055555553</v>
      </c>
      <c r="D64" s="2">
        <v>45635.595833333333</v>
      </c>
    </row>
  </sheetData>
  <phoneticPr fontId="3" type="noConversion"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796E-303F-49EF-9AD2-381E0A1DB40D}">
  <dimension ref="A1:AS158"/>
  <sheetViews>
    <sheetView topLeftCell="A145" zoomScale="87" workbookViewId="0">
      <selection activeCell="D119" sqref="D119"/>
    </sheetView>
  </sheetViews>
  <sheetFormatPr baseColWidth="10" defaultRowHeight="14.4" x14ac:dyDescent="0.3"/>
  <cols>
    <col min="2" max="2" width="11.6640625" bestFit="1" customWidth="1"/>
    <col min="3" max="3" width="11.6640625" customWidth="1"/>
    <col min="4" max="4" width="19.109375" customWidth="1"/>
    <col min="5" max="5" width="11.6640625" customWidth="1"/>
    <col min="6" max="6" width="11.6640625" bestFit="1" customWidth="1"/>
    <col min="7" max="7" width="11.6640625" customWidth="1"/>
    <col min="8" max="8" width="12" bestFit="1" customWidth="1"/>
    <col min="11" max="12" width="18.33203125" bestFit="1" customWidth="1"/>
  </cols>
  <sheetData>
    <row r="1" spans="1:45" ht="18" x14ac:dyDescent="0.3">
      <c r="A1" s="44" t="s">
        <v>281</v>
      </c>
      <c r="Z1" s="100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2"/>
    </row>
    <row r="2" spans="1:45" x14ac:dyDescent="0.3">
      <c r="A2" s="115" t="s">
        <v>282</v>
      </c>
      <c r="Z2" s="85"/>
      <c r="AA2" s="116"/>
      <c r="AB2" s="116"/>
      <c r="AC2" s="116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86"/>
    </row>
    <row r="3" spans="1:45" ht="18" x14ac:dyDescent="0.3">
      <c r="A3" s="44"/>
      <c r="Z3" s="85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86"/>
    </row>
    <row r="4" spans="1:45" ht="18.600000000000001" thickBot="1" x14ac:dyDescent="0.35">
      <c r="A4" s="44"/>
      <c r="Z4" s="85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86"/>
    </row>
    <row r="5" spans="1:45" x14ac:dyDescent="0.3">
      <c r="L5" s="29" t="s">
        <v>263</v>
      </c>
      <c r="M5" s="30" t="s">
        <v>264</v>
      </c>
      <c r="N5" s="30"/>
      <c r="O5" s="30"/>
      <c r="P5" s="31"/>
      <c r="Z5" s="85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86"/>
    </row>
    <row r="6" spans="1:45" ht="15" thickBot="1" x14ac:dyDescent="0.35">
      <c r="A6" s="27" t="s">
        <v>265</v>
      </c>
      <c r="L6" s="32">
        <v>895</v>
      </c>
      <c r="M6" s="28">
        <v>0.40277777777777779</v>
      </c>
      <c r="N6" s="28">
        <v>0.40416666666666667</v>
      </c>
      <c r="O6" s="28">
        <v>0.45</v>
      </c>
      <c r="P6" s="117">
        <v>0.5229166666666667</v>
      </c>
      <c r="Z6" s="85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86"/>
    </row>
    <row r="7" spans="1:45" ht="15" thickBot="1" x14ac:dyDescent="0.35">
      <c r="A7" s="50" t="s">
        <v>283</v>
      </c>
      <c r="B7" s="51" t="s">
        <v>284</v>
      </c>
      <c r="C7" s="51" t="s">
        <v>265</v>
      </c>
      <c r="D7" s="118" t="s">
        <v>312</v>
      </c>
      <c r="E7" s="51" t="s">
        <v>266</v>
      </c>
      <c r="F7" s="52" t="s">
        <v>267</v>
      </c>
      <c r="L7" s="32">
        <v>3000</v>
      </c>
      <c r="M7" s="28">
        <v>0.40555555555555556</v>
      </c>
      <c r="N7" s="28">
        <v>0.40972222222222221</v>
      </c>
      <c r="O7" s="28">
        <v>0.47569444444444442</v>
      </c>
      <c r="P7" s="117">
        <v>0.52847222222222223</v>
      </c>
      <c r="Z7" s="85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86"/>
    </row>
    <row r="8" spans="1:45" ht="15" thickBot="1" x14ac:dyDescent="0.35">
      <c r="A8" s="32" t="s">
        <v>128</v>
      </c>
      <c r="B8" s="2">
        <v>45623.425694444442</v>
      </c>
      <c r="C8" s="12">
        <v>0</v>
      </c>
      <c r="D8">
        <v>798</v>
      </c>
      <c r="E8">
        <v>118.8355</v>
      </c>
      <c r="F8" s="33">
        <f>E8/$L$18</f>
        <v>115.73630633018378</v>
      </c>
      <c r="L8" s="41">
        <v>7981</v>
      </c>
      <c r="M8" s="119">
        <v>0.4201388888888889</v>
      </c>
      <c r="N8" s="119">
        <v>0.42152777777777778</v>
      </c>
      <c r="O8" s="119">
        <v>0.4236111111111111</v>
      </c>
      <c r="P8" s="120">
        <v>0.49930555555555556</v>
      </c>
      <c r="Z8" s="85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86"/>
    </row>
    <row r="9" spans="1:45" x14ac:dyDescent="0.3">
      <c r="A9" s="32" t="s">
        <v>129</v>
      </c>
      <c r="B9" s="2">
        <v>45623.53125</v>
      </c>
      <c r="C9" s="12">
        <v>0</v>
      </c>
      <c r="D9">
        <v>715</v>
      </c>
      <c r="E9">
        <v>17.535</v>
      </c>
      <c r="F9" s="33">
        <f t="shared" ref="F9:F35" si="0">E9/$L$18</f>
        <v>17.077692537160804</v>
      </c>
      <c r="Z9" s="85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86"/>
    </row>
    <row r="10" spans="1:45" x14ac:dyDescent="0.3">
      <c r="A10" s="32" t="s">
        <v>130</v>
      </c>
      <c r="B10" s="2">
        <v>45623.429166666669</v>
      </c>
      <c r="C10" s="12">
        <v>0</v>
      </c>
      <c r="D10">
        <v>697</v>
      </c>
      <c r="E10">
        <v>175.36600000000001</v>
      </c>
      <c r="F10" s="33">
        <f t="shared" si="0"/>
        <v>170.792508096478</v>
      </c>
      <c r="Z10" s="85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86"/>
    </row>
    <row r="11" spans="1:45" ht="15" thickBot="1" x14ac:dyDescent="0.35">
      <c r="A11" s="32" t="s">
        <v>131</v>
      </c>
      <c r="B11" s="2">
        <v>45623.431250000001</v>
      </c>
      <c r="C11" s="12">
        <v>0</v>
      </c>
      <c r="D11">
        <v>814</v>
      </c>
      <c r="E11">
        <v>631.39599999999996</v>
      </c>
      <c r="F11" s="33">
        <f t="shared" si="0"/>
        <v>614.92938449918347</v>
      </c>
      <c r="K11" t="s">
        <v>268</v>
      </c>
      <c r="Z11" s="85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86"/>
    </row>
    <row r="12" spans="1:45" x14ac:dyDescent="0.3">
      <c r="A12" s="32" t="s">
        <v>132</v>
      </c>
      <c r="B12" s="2">
        <v>45623.433333333334</v>
      </c>
      <c r="C12" s="12">
        <v>0</v>
      </c>
      <c r="D12">
        <v>818</v>
      </c>
      <c r="E12">
        <v>1114.711</v>
      </c>
      <c r="F12" s="33">
        <f t="shared" si="0"/>
        <v>1085.6396764066756</v>
      </c>
      <c r="K12" s="29" t="s">
        <v>263</v>
      </c>
      <c r="L12" s="30" t="s">
        <v>285</v>
      </c>
      <c r="M12" s="30" t="s">
        <v>270</v>
      </c>
      <c r="N12" s="30" t="s">
        <v>271</v>
      </c>
      <c r="O12" s="30" t="s">
        <v>272</v>
      </c>
      <c r="P12" s="30" t="s">
        <v>273</v>
      </c>
      <c r="Q12" s="31" t="s">
        <v>274</v>
      </c>
      <c r="Z12" s="85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86"/>
    </row>
    <row r="13" spans="1:45" x14ac:dyDescent="0.3">
      <c r="A13" s="32" t="s">
        <v>133</v>
      </c>
      <c r="B13" s="2">
        <v>45623.435416666667</v>
      </c>
      <c r="C13" s="12">
        <v>0</v>
      </c>
      <c r="D13">
        <v>823</v>
      </c>
      <c r="E13">
        <v>156.92099999999999</v>
      </c>
      <c r="F13" s="33">
        <f t="shared" si="0"/>
        <v>152.82854808233878</v>
      </c>
      <c r="K13" s="32">
        <v>0</v>
      </c>
      <c r="L13">
        <v>0</v>
      </c>
      <c r="Q13" s="33"/>
      <c r="Z13" s="85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86"/>
    </row>
    <row r="14" spans="1:45" x14ac:dyDescent="0.3">
      <c r="A14" s="32" t="s">
        <v>134</v>
      </c>
      <c r="B14" s="2">
        <v>45623.439583333333</v>
      </c>
      <c r="C14" s="12">
        <v>0</v>
      </c>
      <c r="D14">
        <v>807</v>
      </c>
      <c r="E14">
        <v>45.218499999999999</v>
      </c>
      <c r="F14" s="33">
        <f t="shared" si="0"/>
        <v>44.039215283239564</v>
      </c>
      <c r="K14" s="32">
        <v>895</v>
      </c>
      <c r="L14">
        <f>AVERAGE(M14:Q14)</f>
        <v>826.88274999999999</v>
      </c>
      <c r="M14">
        <v>827.29399999999998</v>
      </c>
      <c r="N14">
        <v>830.822</v>
      </c>
      <c r="O14">
        <v>822.42899999999997</v>
      </c>
      <c r="P14">
        <v>826.98599999999999</v>
      </c>
      <c r="Q14" s="33"/>
      <c r="Z14" s="85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86"/>
    </row>
    <row r="15" spans="1:45" x14ac:dyDescent="0.3">
      <c r="A15" s="32" t="s">
        <v>135</v>
      </c>
      <c r="B15" s="2">
        <v>45623.443055555559</v>
      </c>
      <c r="C15" s="12">
        <v>0</v>
      </c>
      <c r="D15">
        <v>810</v>
      </c>
      <c r="E15">
        <v>106.0765</v>
      </c>
      <c r="F15" s="33">
        <f t="shared" si="0"/>
        <v>103.31005716670305</v>
      </c>
      <c r="K15" s="32">
        <v>3000</v>
      </c>
      <c r="L15">
        <f>AVERAGE(M15:Q15)</f>
        <v>3084.285625</v>
      </c>
      <c r="M15">
        <v>3090.4679999999998</v>
      </c>
      <c r="N15">
        <v>3165.9679999999998</v>
      </c>
      <c r="O15">
        <v>3098.1869999999999</v>
      </c>
      <c r="P15">
        <v>2982.5194999999999</v>
      </c>
      <c r="Q15" s="33"/>
      <c r="Z15" s="85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86"/>
    </row>
    <row r="16" spans="1:45" x14ac:dyDescent="0.3">
      <c r="A16" s="32" t="s">
        <v>136</v>
      </c>
      <c r="B16" s="2">
        <v>45623.445138888892</v>
      </c>
      <c r="C16" s="12">
        <v>0</v>
      </c>
      <c r="D16">
        <v>821</v>
      </c>
      <c r="E16">
        <v>207.17599999999999</v>
      </c>
      <c r="F16" s="33">
        <f t="shared" si="0"/>
        <v>201.77291297854728</v>
      </c>
      <c r="K16" s="32">
        <v>7981</v>
      </c>
      <c r="L16">
        <f>AVERAGE(M16:Q16)</f>
        <v>8203.5567499999997</v>
      </c>
      <c r="M16">
        <v>8327.7639999999992</v>
      </c>
      <c r="N16">
        <v>8096.5290000000005</v>
      </c>
      <c r="O16">
        <v>8156.0619999999999</v>
      </c>
      <c r="P16">
        <v>8233.8719999999994</v>
      </c>
      <c r="Q16" s="33"/>
      <c r="Z16" s="85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86"/>
    </row>
    <row r="17" spans="1:45" ht="15" thickBot="1" x14ac:dyDescent="0.35">
      <c r="A17" s="32" t="s">
        <v>137</v>
      </c>
      <c r="B17" s="2">
        <v>45623.447916666664</v>
      </c>
      <c r="C17" s="12">
        <v>0</v>
      </c>
      <c r="D17">
        <v>815</v>
      </c>
      <c r="E17">
        <v>166.44</v>
      </c>
      <c r="F17" s="33">
        <f t="shared" si="0"/>
        <v>162.09929545965463</v>
      </c>
      <c r="K17" s="32"/>
      <c r="Q17" s="33"/>
      <c r="Z17" s="85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86"/>
    </row>
    <row r="18" spans="1:45" ht="15" thickBot="1" x14ac:dyDescent="0.35">
      <c r="A18" s="32" t="s">
        <v>138</v>
      </c>
      <c r="B18" s="2">
        <v>45623.45208333333</v>
      </c>
      <c r="C18" s="12">
        <v>0</v>
      </c>
      <c r="D18">
        <v>715</v>
      </c>
      <c r="E18">
        <v>155.84</v>
      </c>
      <c r="F18" s="33">
        <f t="shared" si="0"/>
        <v>151.77574023331277</v>
      </c>
      <c r="K18" s="34" t="s">
        <v>275</v>
      </c>
      <c r="L18" s="35" cm="1">
        <f t="array" ref="L18:M18">LINEST(L13:L16,K13:K16,FALSE,FALSE)</f>
        <v>1.0267780592632232</v>
      </c>
      <c r="M18" s="41">
        <v>0</v>
      </c>
      <c r="N18" s="36"/>
      <c r="O18" s="36"/>
      <c r="P18" s="36"/>
      <c r="Q18" s="37"/>
      <c r="Z18" s="85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86"/>
    </row>
    <row r="19" spans="1:45" x14ac:dyDescent="0.3">
      <c r="A19" s="32" t="s">
        <v>139</v>
      </c>
      <c r="B19" s="2">
        <v>45623.45416666667</v>
      </c>
      <c r="C19" s="12">
        <v>0</v>
      </c>
      <c r="D19">
        <v>845</v>
      </c>
      <c r="E19">
        <v>67.534499999999994</v>
      </c>
      <c r="F19" s="33">
        <f t="shared" si="0"/>
        <v>65.773220795602299</v>
      </c>
      <c r="Z19" s="85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86"/>
    </row>
    <row r="20" spans="1:45" x14ac:dyDescent="0.3">
      <c r="A20" s="32" t="s">
        <v>140</v>
      </c>
      <c r="B20" s="2">
        <v>45623.456944444442</v>
      </c>
      <c r="C20" s="12">
        <v>0</v>
      </c>
      <c r="D20">
        <v>783</v>
      </c>
      <c r="E20">
        <v>121.1555</v>
      </c>
      <c r="F20" s="33">
        <f t="shared" si="0"/>
        <v>117.99580143632653</v>
      </c>
      <c r="Z20" s="85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86"/>
    </row>
    <row r="21" spans="1:45" x14ac:dyDescent="0.3">
      <c r="A21" s="32" t="s">
        <v>141</v>
      </c>
      <c r="B21" s="2">
        <v>45623.459027777775</v>
      </c>
      <c r="C21" s="12">
        <v>0</v>
      </c>
      <c r="D21">
        <v>828</v>
      </c>
      <c r="E21">
        <v>101.8385</v>
      </c>
      <c r="F21" s="33">
        <f t="shared" si="0"/>
        <v>99.182582916775047</v>
      </c>
      <c r="Z21" s="85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86"/>
    </row>
    <row r="22" spans="1:45" x14ac:dyDescent="0.3">
      <c r="A22" s="32" t="s">
        <v>142</v>
      </c>
      <c r="B22" s="2">
        <v>45623.461111111108</v>
      </c>
      <c r="C22" s="12">
        <v>0</v>
      </c>
      <c r="D22">
        <v>719</v>
      </c>
      <c r="E22">
        <v>151.34899999999999</v>
      </c>
      <c r="F22" s="33">
        <f t="shared" si="0"/>
        <v>147.4018641463787</v>
      </c>
      <c r="K22" s="38"/>
      <c r="Z22" s="85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86"/>
    </row>
    <row r="23" spans="1:45" x14ac:dyDescent="0.3">
      <c r="A23" s="32" t="s">
        <v>143</v>
      </c>
      <c r="B23" s="2">
        <v>45623.463888888888</v>
      </c>
      <c r="C23" s="12">
        <v>0</v>
      </c>
      <c r="D23">
        <v>844</v>
      </c>
      <c r="E23">
        <v>267.86200000000002</v>
      </c>
      <c r="F23" s="33">
        <f t="shared" si="0"/>
        <v>260.87624056965882</v>
      </c>
      <c r="Z23" s="85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86"/>
    </row>
    <row r="24" spans="1:45" ht="15" thickBot="1" x14ac:dyDescent="0.35">
      <c r="A24" s="32" t="s">
        <v>144</v>
      </c>
      <c r="B24" s="2">
        <v>45623.46597222222</v>
      </c>
      <c r="C24" s="12">
        <v>0</v>
      </c>
      <c r="D24">
        <v>827</v>
      </c>
      <c r="E24">
        <v>58.591000000000001</v>
      </c>
      <c r="F24" s="33">
        <f t="shared" si="0"/>
        <v>57.062964553452446</v>
      </c>
      <c r="Z24" s="85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86"/>
    </row>
    <row r="25" spans="1:45" x14ac:dyDescent="0.3">
      <c r="A25" s="32" t="s">
        <v>145</v>
      </c>
      <c r="B25" s="2">
        <v>45623.46875</v>
      </c>
      <c r="C25" s="12">
        <v>0</v>
      </c>
      <c r="D25">
        <v>748</v>
      </c>
      <c r="E25">
        <v>97.83</v>
      </c>
      <c r="F25" s="33">
        <f t="shared" si="0"/>
        <v>95.278623376700395</v>
      </c>
      <c r="K25" s="29" t="s">
        <v>276</v>
      </c>
      <c r="L25" s="39">
        <v>22</v>
      </c>
      <c r="Z25" s="85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86"/>
    </row>
    <row r="26" spans="1:45" x14ac:dyDescent="0.3">
      <c r="A26" s="32" t="s">
        <v>146</v>
      </c>
      <c r="B26" s="2">
        <v>45623.470833333333</v>
      </c>
      <c r="C26" s="12">
        <v>0</v>
      </c>
      <c r="D26">
        <v>840</v>
      </c>
      <c r="E26">
        <v>101.595</v>
      </c>
      <c r="F26" s="33">
        <f t="shared" si="0"/>
        <v>98.945433322660492</v>
      </c>
      <c r="K26" s="32" t="s">
        <v>277</v>
      </c>
      <c r="L26" s="40">
        <v>981.6</v>
      </c>
      <c r="Z26" s="85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86"/>
    </row>
    <row r="27" spans="1:45" ht="15" thickBot="1" x14ac:dyDescent="0.35">
      <c r="A27" s="32" t="s">
        <v>147</v>
      </c>
      <c r="B27" s="2">
        <v>45623.431944444441</v>
      </c>
      <c r="C27" s="12">
        <v>0</v>
      </c>
      <c r="D27">
        <v>810</v>
      </c>
      <c r="E27">
        <v>161.947</v>
      </c>
      <c r="F27" s="33">
        <f t="shared" si="0"/>
        <v>157.72347153211183</v>
      </c>
      <c r="K27" s="41" t="s">
        <v>278</v>
      </c>
      <c r="L27" s="42">
        <v>40.700000000000003</v>
      </c>
      <c r="Z27" s="85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86"/>
    </row>
    <row r="28" spans="1:45" x14ac:dyDescent="0.3">
      <c r="A28" s="32" t="s">
        <v>148</v>
      </c>
      <c r="B28" s="2">
        <v>45623.478472222225</v>
      </c>
      <c r="C28" s="12">
        <v>0</v>
      </c>
      <c r="D28">
        <v>831</v>
      </c>
      <c r="E28">
        <v>158.761</v>
      </c>
      <c r="F28" s="33">
        <f t="shared" si="0"/>
        <v>154.62056144238301</v>
      </c>
      <c r="G28" s="43"/>
      <c r="Z28" s="85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86"/>
    </row>
    <row r="29" spans="1:45" x14ac:dyDescent="0.3">
      <c r="A29" s="32" t="s">
        <v>149</v>
      </c>
      <c r="B29" s="2">
        <v>45623.482638888891</v>
      </c>
      <c r="C29" s="12">
        <v>0</v>
      </c>
      <c r="D29">
        <v>843</v>
      </c>
      <c r="E29">
        <v>128.685</v>
      </c>
      <c r="F29" s="33">
        <f t="shared" si="0"/>
        <v>125.32893436809455</v>
      </c>
      <c r="Z29" s="85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86"/>
    </row>
    <row r="30" spans="1:45" x14ac:dyDescent="0.3">
      <c r="A30" s="32" t="s">
        <v>150</v>
      </c>
      <c r="B30" s="2">
        <v>45623.484722222223</v>
      </c>
      <c r="C30" s="12">
        <v>0</v>
      </c>
      <c r="D30">
        <v>820</v>
      </c>
      <c r="E30">
        <v>109.34099999999999</v>
      </c>
      <c r="F30" s="33">
        <f t="shared" si="0"/>
        <v>106.48942000032503</v>
      </c>
      <c r="Z30" s="85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86"/>
    </row>
    <row r="31" spans="1:45" x14ac:dyDescent="0.3">
      <c r="A31" s="32" t="s">
        <v>151</v>
      </c>
      <c r="B31" s="2">
        <v>45623.486805555556</v>
      </c>
      <c r="C31" s="12">
        <v>0</v>
      </c>
      <c r="D31">
        <v>790</v>
      </c>
      <c r="E31">
        <v>189.59049999999999</v>
      </c>
      <c r="F31" s="33">
        <f t="shared" si="0"/>
        <v>184.64603746601568</v>
      </c>
      <c r="Z31" s="85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86"/>
    </row>
    <row r="32" spans="1:45" x14ac:dyDescent="0.3">
      <c r="A32" s="32" t="s">
        <v>152</v>
      </c>
      <c r="B32" s="2">
        <v>45623.489583333336</v>
      </c>
      <c r="C32" s="12">
        <v>0</v>
      </c>
      <c r="D32">
        <v>851</v>
      </c>
      <c r="E32">
        <v>121.053</v>
      </c>
      <c r="F32" s="33">
        <f t="shared" si="0"/>
        <v>117.89597460512842</v>
      </c>
      <c r="Z32" s="85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86"/>
    </row>
    <row r="33" spans="1:45" x14ac:dyDescent="0.3">
      <c r="A33" s="32" t="s">
        <v>153</v>
      </c>
      <c r="B33" s="2">
        <v>45623.491666666669</v>
      </c>
      <c r="C33" s="12">
        <v>0</v>
      </c>
      <c r="D33">
        <v>855</v>
      </c>
      <c r="E33">
        <v>128.62700000000001</v>
      </c>
      <c r="F33" s="33">
        <f t="shared" si="0"/>
        <v>125.272446990441</v>
      </c>
      <c r="Z33" s="85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86"/>
    </row>
    <row r="34" spans="1:45" x14ac:dyDescent="0.3">
      <c r="A34" s="32" t="s">
        <v>154</v>
      </c>
      <c r="B34" s="2">
        <v>45623.494444444441</v>
      </c>
      <c r="C34" s="12">
        <v>0</v>
      </c>
      <c r="D34">
        <v>832</v>
      </c>
      <c r="E34">
        <v>123.08499999999999</v>
      </c>
      <c r="F34" s="33">
        <f t="shared" si="0"/>
        <v>119.87498066361205</v>
      </c>
      <c r="Z34" s="85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86"/>
    </row>
    <row r="35" spans="1:45" ht="15" thickBot="1" x14ac:dyDescent="0.35">
      <c r="A35" s="41" t="s">
        <v>155</v>
      </c>
      <c r="B35" s="121">
        <v>45623.496527777781</v>
      </c>
      <c r="C35" s="56">
        <v>0</v>
      </c>
      <c r="D35" s="36">
        <v>792</v>
      </c>
      <c r="E35" s="36">
        <v>103.19799999999999</v>
      </c>
      <c r="F35" s="33">
        <f t="shared" si="0"/>
        <v>100.50662757056861</v>
      </c>
      <c r="Z35" s="85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86"/>
    </row>
    <row r="36" spans="1:45" x14ac:dyDescent="0.3">
      <c r="Z36" s="85"/>
      <c r="AA36" s="116"/>
      <c r="AB36" s="116"/>
      <c r="AC36" s="116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86"/>
    </row>
    <row r="37" spans="1:45" x14ac:dyDescent="0.3">
      <c r="Z37" s="85"/>
      <c r="AA37" s="116"/>
      <c r="AB37" s="116"/>
      <c r="AC37" s="116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86"/>
    </row>
    <row r="38" spans="1:45" x14ac:dyDescent="0.3">
      <c r="Z38" s="85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86"/>
    </row>
    <row r="39" spans="1:45" x14ac:dyDescent="0.3">
      <c r="Z39" s="85"/>
      <c r="AA39" s="116"/>
      <c r="AB39" s="116"/>
      <c r="AC39" s="116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86"/>
    </row>
    <row r="40" spans="1:45" x14ac:dyDescent="0.3">
      <c r="Z40" s="85"/>
      <c r="AA40" s="116"/>
      <c r="AB40" s="116"/>
      <c r="AC40" s="116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86"/>
    </row>
    <row r="41" spans="1:45" x14ac:dyDescent="0.3">
      <c r="Z41" s="85"/>
      <c r="AA41" s="116"/>
      <c r="AB41" s="116"/>
      <c r="AC41" s="116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86"/>
    </row>
    <row r="42" spans="1:45" x14ac:dyDescent="0.3">
      <c r="Z42" s="85"/>
      <c r="AA42" s="116"/>
      <c r="AB42" s="116"/>
      <c r="AC42" s="116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86"/>
    </row>
    <row r="43" spans="1:45" ht="15" thickBot="1" x14ac:dyDescent="0.35">
      <c r="A43" s="27" t="s">
        <v>279</v>
      </c>
      <c r="B43" s="1"/>
      <c r="C43" s="1"/>
      <c r="D43" s="1"/>
      <c r="E43" s="1"/>
      <c r="F43" s="1"/>
      <c r="Z43" s="85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86"/>
    </row>
    <row r="44" spans="1:45" ht="15" thickBot="1" x14ac:dyDescent="0.35">
      <c r="A44" s="50" t="s">
        <v>283</v>
      </c>
      <c r="B44" s="51" t="s">
        <v>284</v>
      </c>
      <c r="C44" s="51" t="s">
        <v>279</v>
      </c>
      <c r="D44" s="118" t="s">
        <v>312</v>
      </c>
      <c r="E44" s="51" t="s">
        <v>266</v>
      </c>
      <c r="F44" s="51" t="s">
        <v>267</v>
      </c>
      <c r="G44" s="52" t="s">
        <v>297</v>
      </c>
      <c r="L44" s="29" t="s">
        <v>263</v>
      </c>
      <c r="M44" s="30" t="s">
        <v>264</v>
      </c>
      <c r="N44" s="30"/>
      <c r="O44" s="30"/>
      <c r="P44" s="31"/>
      <c r="Z44" s="85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86"/>
    </row>
    <row r="45" spans="1:45" x14ac:dyDescent="0.3">
      <c r="A45" s="32" t="s">
        <v>128</v>
      </c>
      <c r="B45" s="2">
        <v>45624.362500000003</v>
      </c>
      <c r="C45" s="12">
        <f>(B45-B8)*24</f>
        <v>22.483333333453629</v>
      </c>
      <c r="E45">
        <v>1810.2384999999999</v>
      </c>
      <c r="F45">
        <f>E45/$L$57</f>
        <v>1678.8311680144884</v>
      </c>
      <c r="G45" s="33">
        <f>E45-E8</f>
        <v>1691.403</v>
      </c>
      <c r="L45" s="32">
        <v>895</v>
      </c>
      <c r="M45" s="28">
        <v>0.34791666666666665</v>
      </c>
      <c r="N45" s="28">
        <v>0.35</v>
      </c>
      <c r="O45" s="28">
        <v>0.39166666666666666</v>
      </c>
      <c r="P45" s="117"/>
      <c r="Z45" s="85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86"/>
    </row>
    <row r="46" spans="1:45" x14ac:dyDescent="0.3">
      <c r="A46" s="32" t="s">
        <v>129</v>
      </c>
      <c r="B46" s="2">
        <v>45624.444444444445</v>
      </c>
      <c r="C46" s="12">
        <f t="shared" ref="C46:C72" si="1">(B46-B9)*24</f>
        <v>21.916666666686069</v>
      </c>
      <c r="E46">
        <v>920.46500000000003</v>
      </c>
      <c r="F46">
        <f t="shared" ref="F46:F72" si="2">E46/$L$57</f>
        <v>853.64736804926872</v>
      </c>
      <c r="G46" s="33">
        <f t="shared" ref="G46:G72" si="3">E46-E9</f>
        <v>902.93000000000006</v>
      </c>
      <c r="L46" s="32">
        <v>3000</v>
      </c>
      <c r="M46" s="28">
        <v>0.35208333333333336</v>
      </c>
      <c r="N46" s="28">
        <v>0.35486111111111113</v>
      </c>
      <c r="O46" s="28">
        <v>0.41875000000000001</v>
      </c>
      <c r="P46" s="117">
        <v>0.4236111111111111</v>
      </c>
      <c r="Z46" s="85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86"/>
    </row>
    <row r="47" spans="1:45" ht="15" thickBot="1" x14ac:dyDescent="0.35">
      <c r="A47" s="32" t="s">
        <v>130</v>
      </c>
      <c r="B47" s="2">
        <v>45624.364583333336</v>
      </c>
      <c r="C47" s="12">
        <f t="shared" si="1"/>
        <v>22.450000000011642</v>
      </c>
      <c r="E47">
        <v>2607.8074999999999</v>
      </c>
      <c r="F47">
        <f t="shared" si="2"/>
        <v>2418.503700579754</v>
      </c>
      <c r="G47" s="33">
        <f t="shared" si="3"/>
        <v>2432.4414999999999</v>
      </c>
      <c r="L47" s="41">
        <v>7981</v>
      </c>
      <c r="M47" s="119">
        <v>0.35694444444444445</v>
      </c>
      <c r="N47" s="119">
        <v>0.35972222222222222</v>
      </c>
      <c r="O47" s="119">
        <v>0.44722222222222224</v>
      </c>
      <c r="P47" s="120">
        <v>0.44930555555555557</v>
      </c>
      <c r="Z47" s="85"/>
      <c r="AA47" s="116"/>
      <c r="AB47" s="116"/>
      <c r="AC47" s="116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86"/>
    </row>
    <row r="48" spans="1:45" x14ac:dyDescent="0.3">
      <c r="A48" s="32" t="s">
        <v>131</v>
      </c>
      <c r="B48" s="2">
        <v>45624.367361111108</v>
      </c>
      <c r="C48" s="12">
        <f t="shared" si="1"/>
        <v>22.466666666558012</v>
      </c>
      <c r="E48">
        <v>8233.33</v>
      </c>
      <c r="F48">
        <f t="shared" si="2"/>
        <v>7635.6629364300497</v>
      </c>
      <c r="G48" s="33">
        <f t="shared" si="3"/>
        <v>7601.9340000000002</v>
      </c>
      <c r="Z48" s="85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86"/>
    </row>
    <row r="49" spans="1:45" x14ac:dyDescent="0.3">
      <c r="A49" s="32" t="s">
        <v>132</v>
      </c>
      <c r="B49" s="2">
        <v>45624.369444444441</v>
      </c>
      <c r="C49" s="12">
        <f t="shared" si="1"/>
        <v>22.466666666558012</v>
      </c>
      <c r="E49">
        <v>13673.255999999999</v>
      </c>
      <c r="F49">
        <f t="shared" si="2"/>
        <v>12680.698339495659</v>
      </c>
      <c r="G49" s="33">
        <f t="shared" si="3"/>
        <v>12558.545</v>
      </c>
      <c r="Z49" s="85"/>
      <c r="AA49" s="116"/>
      <c r="AB49" s="116"/>
      <c r="AC49" s="116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86"/>
    </row>
    <row r="50" spans="1:45" ht="15" thickBot="1" x14ac:dyDescent="0.35">
      <c r="A50" s="32" t="s">
        <v>133</v>
      </c>
      <c r="B50" s="2">
        <v>45624.37222222222</v>
      </c>
      <c r="C50" s="12">
        <f t="shared" si="1"/>
        <v>22.483333333279006</v>
      </c>
      <c r="E50">
        <v>2045.41</v>
      </c>
      <c r="F50">
        <f t="shared" si="2"/>
        <v>1896.9312935110565</v>
      </c>
      <c r="G50" s="33">
        <f t="shared" si="3"/>
        <v>1888.489</v>
      </c>
      <c r="K50" t="s">
        <v>268</v>
      </c>
      <c r="Z50" s="85"/>
      <c r="AA50" s="116"/>
      <c r="AB50" s="116"/>
      <c r="AC50" s="116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86"/>
    </row>
    <row r="51" spans="1:45" x14ac:dyDescent="0.3">
      <c r="A51" s="32" t="s">
        <v>134</v>
      </c>
      <c r="B51" s="2">
        <v>45624.379861111112</v>
      </c>
      <c r="C51" s="12">
        <f t="shared" si="1"/>
        <v>22.566666666709352</v>
      </c>
      <c r="E51">
        <v>584.11199999999997</v>
      </c>
      <c r="F51">
        <f t="shared" si="2"/>
        <v>541.71062609224077</v>
      </c>
      <c r="G51" s="33">
        <f t="shared" si="3"/>
        <v>538.89350000000002</v>
      </c>
      <c r="K51" s="29" t="s">
        <v>263</v>
      </c>
      <c r="L51" s="30" t="s">
        <v>269</v>
      </c>
      <c r="M51" s="30" t="s">
        <v>270</v>
      </c>
      <c r="N51" s="30" t="s">
        <v>271</v>
      </c>
      <c r="O51" s="30" t="s">
        <v>272</v>
      </c>
      <c r="P51" s="30" t="s">
        <v>273</v>
      </c>
      <c r="Q51" s="31" t="s">
        <v>274</v>
      </c>
      <c r="Z51" s="85"/>
      <c r="AA51" s="116"/>
      <c r="AB51" s="116"/>
      <c r="AC51" s="116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86"/>
    </row>
    <row r="52" spans="1:45" x14ac:dyDescent="0.3">
      <c r="A52" s="32" t="s">
        <v>135</v>
      </c>
      <c r="B52" s="2">
        <v>45624.381944444445</v>
      </c>
      <c r="C52" s="12">
        <f t="shared" si="1"/>
        <v>22.533333333267365</v>
      </c>
      <c r="E52">
        <v>1323.587</v>
      </c>
      <c r="F52">
        <f t="shared" si="2"/>
        <v>1227.5062701289321</v>
      </c>
      <c r="G52" s="33">
        <f t="shared" si="3"/>
        <v>1217.5105000000001</v>
      </c>
      <c r="K52" s="32">
        <v>0</v>
      </c>
      <c r="L52">
        <v>0</v>
      </c>
      <c r="Q52" s="33"/>
      <c r="Z52" s="85"/>
      <c r="AA52" s="116"/>
      <c r="AB52" s="116"/>
      <c r="AC52" s="116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86"/>
    </row>
    <row r="53" spans="1:45" x14ac:dyDescent="0.3">
      <c r="A53" s="32" t="s">
        <v>136</v>
      </c>
      <c r="B53" s="2">
        <v>45624.386805555558</v>
      </c>
      <c r="C53" s="12">
        <f t="shared" si="1"/>
        <v>22.599999999976717</v>
      </c>
      <c r="E53">
        <v>2314.8629999999998</v>
      </c>
      <c r="F53">
        <f t="shared" si="2"/>
        <v>2146.8243847888125</v>
      </c>
      <c r="G53" s="33">
        <f t="shared" si="3"/>
        <v>2107.6869999999999</v>
      </c>
      <c r="K53" s="32">
        <v>895</v>
      </c>
      <c r="L53">
        <f>AVERAGE(M53:Q53)</f>
        <v>853.44433333333336</v>
      </c>
      <c r="M53">
        <v>863.62199999999996</v>
      </c>
      <c r="N53">
        <v>848.02499999999998</v>
      </c>
      <c r="O53">
        <v>848.68600000000004</v>
      </c>
      <c r="Q53" s="33"/>
      <c r="Z53" s="85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86"/>
    </row>
    <row r="54" spans="1:45" x14ac:dyDescent="0.3">
      <c r="A54" s="32" t="s">
        <v>137</v>
      </c>
      <c r="B54" s="2">
        <v>45624.38958333333</v>
      </c>
      <c r="C54" s="12">
        <f t="shared" si="1"/>
        <v>22.599999999976717</v>
      </c>
      <c r="E54">
        <v>1904.4535000000001</v>
      </c>
      <c r="F54">
        <f t="shared" si="2"/>
        <v>1766.2069908657234</v>
      </c>
      <c r="G54" s="33">
        <f t="shared" si="3"/>
        <v>1738.0135</v>
      </c>
      <c r="K54" s="32">
        <v>3000</v>
      </c>
      <c r="L54">
        <f>AVERAGE(M54:Q54)</f>
        <v>3184.8550000000005</v>
      </c>
      <c r="M54">
        <v>3274.0749999999998</v>
      </c>
      <c r="N54">
        <v>3261.5540000000001</v>
      </c>
      <c r="O54">
        <v>3090.8389999999999</v>
      </c>
      <c r="P54">
        <v>3112.9520000000002</v>
      </c>
      <c r="Q54" s="33"/>
      <c r="Z54" s="85"/>
      <c r="AA54" s="116"/>
      <c r="AB54" s="116"/>
      <c r="AC54" s="116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86"/>
    </row>
    <row r="55" spans="1:45" x14ac:dyDescent="0.3">
      <c r="A55" s="32" t="s">
        <v>138</v>
      </c>
      <c r="B55" s="2">
        <v>45624.394444444442</v>
      </c>
      <c r="C55" s="12">
        <f t="shared" si="1"/>
        <v>22.616666666697711</v>
      </c>
      <c r="E55">
        <v>2526.0700000000002</v>
      </c>
      <c r="F55">
        <f t="shared" si="2"/>
        <v>2342.6996213959428</v>
      </c>
      <c r="G55" s="33">
        <f t="shared" si="3"/>
        <v>2370.23</v>
      </c>
      <c r="K55" s="32">
        <v>7981</v>
      </c>
      <c r="L55">
        <f>AVERAGE(M55:O55)</f>
        <v>8636.9950000000008</v>
      </c>
      <c r="M55">
        <v>8796.8670000000002</v>
      </c>
      <c r="N55">
        <v>8797.9570000000003</v>
      </c>
      <c r="O55">
        <v>8316.1610000000001</v>
      </c>
      <c r="P55" s="4">
        <v>8060.8580000000002</v>
      </c>
      <c r="Q55" s="33"/>
      <c r="Z55" s="85"/>
      <c r="AA55" s="116"/>
      <c r="AB55" s="116"/>
      <c r="AC55" s="116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86"/>
    </row>
    <row r="56" spans="1:45" ht="15" thickBot="1" x14ac:dyDescent="0.35">
      <c r="A56" s="32" t="s">
        <v>139</v>
      </c>
      <c r="B56" s="2">
        <v>45624.396527777775</v>
      </c>
      <c r="C56" s="12">
        <f t="shared" si="1"/>
        <v>22.616666666523088</v>
      </c>
      <c r="E56">
        <v>844.75850000000003</v>
      </c>
      <c r="F56">
        <f t="shared" si="2"/>
        <v>783.43649151488455</v>
      </c>
      <c r="G56" s="33">
        <f t="shared" si="3"/>
        <v>777.22400000000005</v>
      </c>
      <c r="K56" s="32"/>
      <c r="Q56" s="33"/>
      <c r="Z56" s="85"/>
      <c r="AA56" s="116"/>
      <c r="AB56" s="116"/>
      <c r="AC56" s="116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86"/>
    </row>
    <row r="57" spans="1:45" ht="15" thickBot="1" x14ac:dyDescent="0.35">
      <c r="A57" s="32" t="s">
        <v>140</v>
      </c>
      <c r="B57" s="2">
        <v>45624.399305555555</v>
      </c>
      <c r="C57" s="12">
        <f t="shared" si="1"/>
        <v>22.616666666697711</v>
      </c>
      <c r="E57">
        <v>1709.777</v>
      </c>
      <c r="F57">
        <f t="shared" si="2"/>
        <v>1585.6622859111151</v>
      </c>
      <c r="G57" s="33">
        <f t="shared" si="3"/>
        <v>1588.6215</v>
      </c>
      <c r="K57" s="34" t="s">
        <v>275</v>
      </c>
      <c r="L57" s="35" cm="1">
        <f t="array" ref="L57:M57">LINEST(L52:L55,K52:K55,FALSE,FALSE)</f>
        <v>1.0782731072004839</v>
      </c>
      <c r="M57" s="36">
        <v>0</v>
      </c>
      <c r="N57" s="36"/>
      <c r="O57" s="36"/>
      <c r="P57" s="36"/>
      <c r="Q57" s="37"/>
      <c r="Z57" s="85"/>
      <c r="AA57" s="116"/>
      <c r="AB57" s="116"/>
      <c r="AC57" s="116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86"/>
    </row>
    <row r="58" spans="1:45" x14ac:dyDescent="0.3">
      <c r="A58" s="32" t="s">
        <v>141</v>
      </c>
      <c r="B58" s="2">
        <v>45624.402083333334</v>
      </c>
      <c r="C58" s="12">
        <f t="shared" si="1"/>
        <v>22.633333333418705</v>
      </c>
      <c r="E58">
        <v>1371.375</v>
      </c>
      <c r="F58">
        <f t="shared" si="2"/>
        <v>1271.8252832628789</v>
      </c>
      <c r="G58" s="33">
        <f t="shared" si="3"/>
        <v>1269.5364999999999</v>
      </c>
      <c r="Z58" s="85"/>
      <c r="AA58" s="116"/>
      <c r="AB58" s="116"/>
      <c r="AC58" s="116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86"/>
    </row>
    <row r="59" spans="1:45" x14ac:dyDescent="0.3">
      <c r="A59" s="32" t="s">
        <v>142</v>
      </c>
      <c r="B59" s="2">
        <v>45624.404166666667</v>
      </c>
      <c r="C59" s="12">
        <f t="shared" si="1"/>
        <v>22.633333333418705</v>
      </c>
      <c r="E59">
        <v>2045.7550000000001</v>
      </c>
      <c r="F59">
        <f t="shared" si="2"/>
        <v>1897.2512495571605</v>
      </c>
      <c r="G59" s="33">
        <f t="shared" si="3"/>
        <v>1894.4060000000002</v>
      </c>
      <c r="Z59" s="85"/>
      <c r="AA59" s="116"/>
      <c r="AB59" s="116"/>
      <c r="AC59" s="116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86"/>
    </row>
    <row r="60" spans="1:45" x14ac:dyDescent="0.3">
      <c r="A60" s="32" t="s">
        <v>143</v>
      </c>
      <c r="B60" s="2">
        <v>45624.40625</v>
      </c>
      <c r="C60" s="12">
        <f t="shared" si="1"/>
        <v>22.616666666697711</v>
      </c>
      <c r="E60">
        <v>3253.24</v>
      </c>
      <c r="F60">
        <f t="shared" si="2"/>
        <v>3017.0834997882621</v>
      </c>
      <c r="G60" s="33">
        <f t="shared" si="3"/>
        <v>2985.3779999999997</v>
      </c>
      <c r="Z60" s="85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86"/>
    </row>
    <row r="61" spans="1:45" x14ac:dyDescent="0.3">
      <c r="A61" s="32" t="s">
        <v>144</v>
      </c>
      <c r="B61" s="2">
        <v>45624.40902777778</v>
      </c>
      <c r="C61" s="12">
        <f t="shared" si="1"/>
        <v>22.633333333418705</v>
      </c>
      <c r="E61">
        <v>704.42499999999995</v>
      </c>
      <c r="F61">
        <f t="shared" si="2"/>
        <v>653.28996457019662</v>
      </c>
      <c r="G61" s="33">
        <f t="shared" si="3"/>
        <v>645.83399999999995</v>
      </c>
      <c r="Z61" s="85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86"/>
    </row>
    <row r="62" spans="1:45" x14ac:dyDescent="0.3">
      <c r="A62" s="32" t="s">
        <v>145</v>
      </c>
      <c r="B62" s="2">
        <v>45624.411111111112</v>
      </c>
      <c r="C62" s="12">
        <f t="shared" si="1"/>
        <v>22.616666666697711</v>
      </c>
      <c r="E62">
        <v>1088.3520000000001</v>
      </c>
      <c r="F62">
        <f t="shared" si="2"/>
        <v>1009.3472541717042</v>
      </c>
      <c r="G62" s="33">
        <f t="shared" si="3"/>
        <v>990.52200000000005</v>
      </c>
      <c r="Z62" s="85"/>
      <c r="AA62" s="116"/>
      <c r="AB62" s="116"/>
      <c r="AC62" s="116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86"/>
    </row>
    <row r="63" spans="1:45" ht="15" thickBot="1" x14ac:dyDescent="0.35">
      <c r="A63" s="32" t="s">
        <v>146</v>
      </c>
      <c r="B63" s="2">
        <v>45624.413888888892</v>
      </c>
      <c r="C63" s="12">
        <f t="shared" si="1"/>
        <v>22.633333333418705</v>
      </c>
      <c r="E63">
        <v>1137.933</v>
      </c>
      <c r="F63">
        <f t="shared" si="2"/>
        <v>1055.3291113365619</v>
      </c>
      <c r="G63" s="33">
        <f t="shared" si="3"/>
        <v>1036.338</v>
      </c>
      <c r="Z63" s="85"/>
      <c r="AA63" s="116"/>
      <c r="AB63" s="116"/>
      <c r="AC63" s="116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86"/>
    </row>
    <row r="64" spans="1:45" x14ac:dyDescent="0.3">
      <c r="A64" s="32" t="s">
        <v>147</v>
      </c>
      <c r="B64" s="2">
        <v>45624.415972222225</v>
      </c>
      <c r="C64" s="12">
        <f t="shared" si="1"/>
        <v>23.616666666814126</v>
      </c>
      <c r="E64">
        <v>1819.8630000000001</v>
      </c>
      <c r="F64">
        <f t="shared" si="2"/>
        <v>1687.7570142919571</v>
      </c>
      <c r="G64" s="33">
        <f t="shared" si="3"/>
        <v>1657.9160000000002</v>
      </c>
      <c r="K64" s="29" t="s">
        <v>276</v>
      </c>
      <c r="L64" s="39">
        <v>21.9</v>
      </c>
      <c r="M64" t="s">
        <v>316</v>
      </c>
      <c r="N64">
        <f>L64+273.15</f>
        <v>295.04999999999995</v>
      </c>
      <c r="Z64" s="85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86"/>
    </row>
    <row r="65" spans="1:45" x14ac:dyDescent="0.3">
      <c r="A65" s="32" t="s">
        <v>148</v>
      </c>
      <c r="B65" s="2">
        <v>45624.425694444442</v>
      </c>
      <c r="C65" s="12">
        <f t="shared" si="1"/>
        <v>22.733333333220799</v>
      </c>
      <c r="E65">
        <v>1701.296</v>
      </c>
      <c r="F65">
        <f t="shared" si="2"/>
        <v>1577.7969316299357</v>
      </c>
      <c r="G65" s="33">
        <f t="shared" si="3"/>
        <v>1542.5350000000001</v>
      </c>
      <c r="K65" s="32" t="s">
        <v>277</v>
      </c>
      <c r="L65" s="40">
        <v>976.5</v>
      </c>
      <c r="Z65" s="85"/>
      <c r="AA65" s="116"/>
      <c r="AB65" s="116"/>
      <c r="AC65" s="116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86"/>
    </row>
    <row r="66" spans="1:45" ht="15" thickBot="1" x14ac:dyDescent="0.35">
      <c r="A66" s="32" t="s">
        <v>149</v>
      </c>
      <c r="B66" s="2">
        <v>45624.428472222222</v>
      </c>
      <c r="C66" s="12">
        <f t="shared" si="1"/>
        <v>22.699999999953434</v>
      </c>
      <c r="E66">
        <v>1484.3530000000001</v>
      </c>
      <c r="F66">
        <f t="shared" si="2"/>
        <v>1376.6020779780179</v>
      </c>
      <c r="G66" s="33">
        <f t="shared" si="3"/>
        <v>1355.6680000000001</v>
      </c>
      <c r="K66" s="41" t="s">
        <v>278</v>
      </c>
      <c r="L66" s="42">
        <v>37.799999999999997</v>
      </c>
      <c r="Z66" s="85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86"/>
    </row>
    <row r="67" spans="1:45" x14ac:dyDescent="0.3">
      <c r="A67" s="32" t="s">
        <v>150</v>
      </c>
      <c r="B67" s="2">
        <v>45624.430555555555</v>
      </c>
      <c r="C67" s="12">
        <f t="shared" si="1"/>
        <v>22.699999999953434</v>
      </c>
      <c r="E67">
        <v>1395.518</v>
      </c>
      <c r="F67">
        <f t="shared" si="2"/>
        <v>1294.2157146283448</v>
      </c>
      <c r="G67" s="33">
        <f t="shared" si="3"/>
        <v>1286.1770000000001</v>
      </c>
      <c r="Z67" s="85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86"/>
    </row>
    <row r="68" spans="1:45" x14ac:dyDescent="0.3">
      <c r="A68" s="32" t="s">
        <v>151</v>
      </c>
      <c r="B68" s="2">
        <v>45624.433333333334</v>
      </c>
      <c r="C68" s="12">
        <f t="shared" si="1"/>
        <v>22.716666666674428</v>
      </c>
      <c r="E68">
        <v>2297.6975000000002</v>
      </c>
      <c r="F68">
        <f t="shared" si="2"/>
        <v>2130.9049485296941</v>
      </c>
      <c r="G68" s="33">
        <f t="shared" si="3"/>
        <v>2108.1070000000004</v>
      </c>
      <c r="Z68" s="85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86"/>
    </row>
    <row r="69" spans="1:45" x14ac:dyDescent="0.3">
      <c r="A69" s="32" t="s">
        <v>152</v>
      </c>
      <c r="B69" s="2">
        <v>45624.435416666667</v>
      </c>
      <c r="C69" s="12">
        <f t="shared" si="1"/>
        <v>22.699999999953434</v>
      </c>
      <c r="D69" s="12"/>
      <c r="E69">
        <v>1306.2695000000001</v>
      </c>
      <c r="F69">
        <f t="shared" si="2"/>
        <v>1211.4458677277619</v>
      </c>
      <c r="G69" s="33">
        <f t="shared" si="3"/>
        <v>1185.2165</v>
      </c>
      <c r="Z69" s="85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86"/>
    </row>
    <row r="70" spans="1:45" x14ac:dyDescent="0.3">
      <c r="A70" s="32" t="s">
        <v>153</v>
      </c>
      <c r="B70" s="2">
        <v>45624.4375</v>
      </c>
      <c r="C70" s="12">
        <f t="shared" si="1"/>
        <v>22.699999999953434</v>
      </c>
      <c r="E70">
        <v>1423.1524999999999</v>
      </c>
      <c r="F70">
        <f t="shared" si="2"/>
        <v>1319.8441939212646</v>
      </c>
      <c r="G70" s="33">
        <f t="shared" si="3"/>
        <v>1294.5255</v>
      </c>
      <c r="Z70" s="85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86"/>
    </row>
    <row r="71" spans="1:45" x14ac:dyDescent="0.3">
      <c r="A71" s="32" t="s">
        <v>154</v>
      </c>
      <c r="B71" s="2">
        <v>45624.44027777778</v>
      </c>
      <c r="C71" s="12">
        <f t="shared" si="1"/>
        <v>22.700000000128057</v>
      </c>
      <c r="E71">
        <v>1334.537</v>
      </c>
      <c r="F71">
        <f t="shared" si="2"/>
        <v>1237.6613968096201</v>
      </c>
      <c r="G71" s="33">
        <f t="shared" si="3"/>
        <v>1211.452</v>
      </c>
      <c r="Z71" s="85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86"/>
    </row>
    <row r="72" spans="1:45" ht="15" thickBot="1" x14ac:dyDescent="0.35">
      <c r="A72" s="41" t="s">
        <v>155</v>
      </c>
      <c r="B72" s="121">
        <v>45624.442361111112</v>
      </c>
      <c r="C72" s="56">
        <f t="shared" si="1"/>
        <v>22.699999999953434</v>
      </c>
      <c r="D72" s="36"/>
      <c r="E72" s="36">
        <v>1195.4970000000001</v>
      </c>
      <c r="F72" s="36">
        <f t="shared" si="2"/>
        <v>1108.7144731856145</v>
      </c>
      <c r="G72" s="37">
        <f t="shared" si="3"/>
        <v>1092.299</v>
      </c>
      <c r="Z72" s="85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86"/>
    </row>
    <row r="73" spans="1:45" x14ac:dyDescent="0.3">
      <c r="Z73" s="85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86"/>
    </row>
    <row r="74" spans="1:45" x14ac:dyDescent="0.3">
      <c r="Z74" s="85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86"/>
    </row>
    <row r="75" spans="1:45" x14ac:dyDescent="0.3">
      <c r="Z75" s="85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86"/>
    </row>
    <row r="76" spans="1:45" x14ac:dyDescent="0.3">
      <c r="Z76" s="85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86"/>
    </row>
    <row r="77" spans="1:45" x14ac:dyDescent="0.3">
      <c r="Z77" s="85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86"/>
    </row>
    <row r="78" spans="1:45" x14ac:dyDescent="0.3">
      <c r="Z78" s="85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86"/>
    </row>
    <row r="79" spans="1:45" x14ac:dyDescent="0.3">
      <c r="Z79" s="85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86"/>
    </row>
    <row r="80" spans="1:45" x14ac:dyDescent="0.3">
      <c r="Z80" s="85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86"/>
    </row>
    <row r="81" spans="1:45" ht="15" thickBot="1" x14ac:dyDescent="0.35">
      <c r="A81" s="27" t="s">
        <v>280</v>
      </c>
      <c r="B81" s="1"/>
      <c r="C81" s="1"/>
      <c r="D81" s="1"/>
      <c r="E81" s="1"/>
      <c r="F81" s="1"/>
      <c r="Z81" s="85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86"/>
    </row>
    <row r="82" spans="1:45" ht="15" thickBot="1" x14ac:dyDescent="0.35">
      <c r="A82" s="50" t="s">
        <v>283</v>
      </c>
      <c r="B82" s="51" t="s">
        <v>284</v>
      </c>
      <c r="C82" s="51" t="s">
        <v>280</v>
      </c>
      <c r="D82" s="118" t="s">
        <v>312</v>
      </c>
      <c r="E82" s="51" t="s">
        <v>266</v>
      </c>
      <c r="F82" s="51" t="s">
        <v>267</v>
      </c>
      <c r="G82" s="52" t="s">
        <v>297</v>
      </c>
      <c r="L82" s="29" t="s">
        <v>263</v>
      </c>
      <c r="M82" s="30" t="s">
        <v>264</v>
      </c>
      <c r="N82" s="30"/>
      <c r="O82" s="31"/>
      <c r="Z82" s="85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86"/>
    </row>
    <row r="83" spans="1:45" x14ac:dyDescent="0.3">
      <c r="A83" s="32" t="s">
        <v>128</v>
      </c>
      <c r="B83" s="2">
        <v>45624.632638888892</v>
      </c>
      <c r="C83" s="12">
        <f>(B83-B8)*24</f>
        <v>28.966666666790843</v>
      </c>
      <c r="E83">
        <v>2186.8209999999999</v>
      </c>
      <c r="F83">
        <f>E83/$L$95</f>
        <v>2083.0280777089042</v>
      </c>
      <c r="G83" s="33">
        <f>F83-F45</f>
        <v>404.19690969441581</v>
      </c>
      <c r="L83" s="32">
        <v>895</v>
      </c>
      <c r="M83" s="28">
        <v>0.61805555555555558</v>
      </c>
      <c r="N83" s="28">
        <v>0.62083333333333335</v>
      </c>
      <c r="O83" s="117">
        <v>0.65416666666666667</v>
      </c>
      <c r="P83" s="28"/>
      <c r="Z83" s="85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86"/>
    </row>
    <row r="84" spans="1:45" x14ac:dyDescent="0.3">
      <c r="A84" s="32" t="s">
        <v>129</v>
      </c>
      <c r="B84" s="2">
        <v>45624.712500000001</v>
      </c>
      <c r="C84" s="12">
        <f t="shared" ref="C84:C110" si="4">(B84-B9)*24</f>
        <v>28.350000000034925</v>
      </c>
      <c r="E84">
        <v>1119.981</v>
      </c>
      <c r="F84">
        <f t="shared" ref="F84:F110" si="5">E84/$L$95</f>
        <v>1066.8234251914064</v>
      </c>
      <c r="G84" s="33">
        <f t="shared" ref="G84:G110" si="6">F84-F46</f>
        <v>213.17605714213767</v>
      </c>
      <c r="L84" s="32">
        <v>3000</v>
      </c>
      <c r="M84" s="28">
        <v>0.62291666666666667</v>
      </c>
      <c r="N84" s="28">
        <v>0.62569444444444444</v>
      </c>
      <c r="O84" s="117">
        <v>0.68611111111111112</v>
      </c>
      <c r="P84" s="28"/>
      <c r="Z84" s="85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86"/>
    </row>
    <row r="85" spans="1:45" ht="15" thickBot="1" x14ac:dyDescent="0.35">
      <c r="A85" s="32" t="s">
        <v>130</v>
      </c>
      <c r="B85" s="2">
        <v>45624.634722222225</v>
      </c>
      <c r="C85" s="12">
        <f t="shared" si="4"/>
        <v>28.933333333348855</v>
      </c>
      <c r="E85">
        <v>3091.3604999999998</v>
      </c>
      <c r="F85">
        <f t="shared" si="5"/>
        <v>2944.6354867729174</v>
      </c>
      <c r="G85" s="33">
        <f t="shared" si="6"/>
        <v>526.13178619316341</v>
      </c>
      <c r="L85" s="41">
        <v>7981</v>
      </c>
      <c r="M85" s="119">
        <v>0.62777777777777777</v>
      </c>
      <c r="N85" s="119">
        <v>0.62986111111111109</v>
      </c>
      <c r="O85" s="120">
        <v>0.71458333333333335</v>
      </c>
      <c r="P85" s="28"/>
      <c r="Z85" s="85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86"/>
    </row>
    <row r="86" spans="1:45" x14ac:dyDescent="0.3">
      <c r="A86" s="32" t="s">
        <v>131</v>
      </c>
      <c r="B86" s="2">
        <v>45624.637499999997</v>
      </c>
      <c r="C86" s="12">
        <f t="shared" si="4"/>
        <v>28.949999999895226</v>
      </c>
      <c r="E86">
        <v>9852.7890000000007</v>
      </c>
      <c r="F86">
        <f t="shared" si="5"/>
        <v>9385.146809337135</v>
      </c>
      <c r="G86" s="33">
        <f t="shared" si="6"/>
        <v>1749.4838729070852</v>
      </c>
      <c r="Z86" s="85"/>
      <c r="AA86" s="116"/>
      <c r="AB86" s="116"/>
      <c r="AC86" s="116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86"/>
    </row>
    <row r="87" spans="1:45" x14ac:dyDescent="0.3">
      <c r="A87" s="32" t="s">
        <v>132</v>
      </c>
      <c r="B87" s="2">
        <v>45624.63958333333</v>
      </c>
      <c r="C87" s="12">
        <f t="shared" si="4"/>
        <v>28.949999999895226</v>
      </c>
      <c r="E87">
        <v>16185.032999999999</v>
      </c>
      <c r="F87">
        <f t="shared" si="5"/>
        <v>15416.843983867533</v>
      </c>
      <c r="G87" s="33">
        <f t="shared" si="6"/>
        <v>2736.1456443718744</v>
      </c>
      <c r="Z87" s="85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86"/>
    </row>
    <row r="88" spans="1:45" ht="15" thickBot="1" x14ac:dyDescent="0.35">
      <c r="A88" s="32" t="s">
        <v>133</v>
      </c>
      <c r="B88" s="2">
        <v>45624.642361111109</v>
      </c>
      <c r="C88" s="12">
        <f t="shared" si="4"/>
        <v>28.96666666661622</v>
      </c>
      <c r="E88">
        <v>2502.268</v>
      </c>
      <c r="F88">
        <f t="shared" si="5"/>
        <v>2383.5030402362631</v>
      </c>
      <c r="G88" s="33">
        <f t="shared" si="6"/>
        <v>486.57174672520659</v>
      </c>
      <c r="K88" t="s">
        <v>268</v>
      </c>
      <c r="Z88" s="85"/>
      <c r="AA88" s="116"/>
      <c r="AB88" s="116"/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86"/>
    </row>
    <row r="89" spans="1:45" x14ac:dyDescent="0.3">
      <c r="A89" s="32" t="s">
        <v>134</v>
      </c>
      <c r="B89" s="2">
        <v>45624.644444444442</v>
      </c>
      <c r="C89" s="12">
        <f t="shared" si="4"/>
        <v>28.916666666627862</v>
      </c>
      <c r="E89">
        <v>792.19799999999998</v>
      </c>
      <c r="F89">
        <f t="shared" si="5"/>
        <v>754.59796531350241</v>
      </c>
      <c r="G89" s="33">
        <f t="shared" si="6"/>
        <v>212.88733922126164</v>
      </c>
      <c r="K89" s="29" t="s">
        <v>263</v>
      </c>
      <c r="L89" s="30" t="s">
        <v>269</v>
      </c>
      <c r="M89" s="30" t="s">
        <v>270</v>
      </c>
      <c r="N89" s="30" t="s">
        <v>271</v>
      </c>
      <c r="O89" s="30" t="s">
        <v>272</v>
      </c>
      <c r="P89" s="30" t="s">
        <v>273</v>
      </c>
      <c r="Q89" s="31" t="s">
        <v>274</v>
      </c>
      <c r="Z89" s="85"/>
      <c r="AA89" s="116"/>
      <c r="AB89" s="116"/>
      <c r="AC89" s="116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86"/>
    </row>
    <row r="90" spans="1:45" x14ac:dyDescent="0.3">
      <c r="A90" s="32" t="s">
        <v>135</v>
      </c>
      <c r="B90" s="2">
        <v>45624.647222222222</v>
      </c>
      <c r="C90" s="12">
        <f t="shared" si="4"/>
        <v>28.899999999906868</v>
      </c>
      <c r="E90">
        <v>1748.3315</v>
      </c>
      <c r="F90">
        <f t="shared" si="5"/>
        <v>1665.3505721972331</v>
      </c>
      <c r="G90" s="33">
        <f t="shared" si="6"/>
        <v>437.84430206830098</v>
      </c>
      <c r="K90" s="32">
        <v>0</v>
      </c>
      <c r="L90">
        <v>0</v>
      </c>
      <c r="Q90" s="33"/>
      <c r="Z90" s="85"/>
      <c r="AA90" s="116"/>
      <c r="AB90" s="116"/>
      <c r="AC90" s="116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86"/>
    </row>
    <row r="91" spans="1:45" x14ac:dyDescent="0.3">
      <c r="A91" s="32" t="s">
        <v>136</v>
      </c>
      <c r="B91" s="2">
        <v>45624.649305555555</v>
      </c>
      <c r="C91" s="12">
        <f t="shared" si="4"/>
        <v>28.899999999906868</v>
      </c>
      <c r="E91">
        <v>2925.9585000000002</v>
      </c>
      <c r="F91">
        <f t="shared" si="5"/>
        <v>2787.0839495829928</v>
      </c>
      <c r="G91" s="33">
        <f t="shared" si="6"/>
        <v>640.25956479418028</v>
      </c>
      <c r="K91" s="32">
        <v>895</v>
      </c>
      <c r="L91">
        <f>AVERAGE(M91:Q91)</f>
        <v>838.5338333333334</v>
      </c>
      <c r="M91">
        <v>827.3075</v>
      </c>
      <c r="N91">
        <v>838.01</v>
      </c>
      <c r="O91">
        <v>850.28399999999999</v>
      </c>
      <c r="Q91" s="33"/>
      <c r="Z91" s="85"/>
      <c r="AA91" s="116"/>
      <c r="AB91" s="116"/>
      <c r="AC91" s="116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86"/>
    </row>
    <row r="92" spans="1:45" x14ac:dyDescent="0.3">
      <c r="A92" s="32" t="s">
        <v>137</v>
      </c>
      <c r="B92" s="2">
        <v>45624.651388888888</v>
      </c>
      <c r="C92" s="12">
        <f t="shared" si="4"/>
        <v>28.883333333360497</v>
      </c>
      <c r="E92">
        <v>2384.5880000000002</v>
      </c>
      <c r="F92">
        <f t="shared" si="5"/>
        <v>2271.4084773137452</v>
      </c>
      <c r="G92" s="33">
        <f t="shared" si="6"/>
        <v>505.2014864480218</v>
      </c>
      <c r="K92" s="32">
        <v>3000</v>
      </c>
      <c r="L92">
        <f>AVERAGE(M92:Q92)</f>
        <v>3076.1243333333332</v>
      </c>
      <c r="M92">
        <v>3122.759</v>
      </c>
      <c r="N92">
        <v>3085.1179999999999</v>
      </c>
      <c r="O92">
        <v>3020.4960000000001</v>
      </c>
      <c r="Q92" s="33"/>
      <c r="Z92" s="85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86"/>
    </row>
    <row r="93" spans="1:45" x14ac:dyDescent="0.3">
      <c r="A93" s="32" t="s">
        <v>138</v>
      </c>
      <c r="B93" s="2">
        <v>45624.65625</v>
      </c>
      <c r="C93" s="12">
        <f t="shared" si="4"/>
        <v>28.900000000081491</v>
      </c>
      <c r="E93">
        <v>3338.5625</v>
      </c>
      <c r="F93">
        <f t="shared" si="5"/>
        <v>3180.1045566537155</v>
      </c>
      <c r="G93" s="33">
        <f t="shared" si="6"/>
        <v>837.40493525777265</v>
      </c>
      <c r="K93" s="32">
        <v>7981</v>
      </c>
      <c r="L93">
        <f>AVERAGE(M93:Q93)</f>
        <v>8417.5850000000009</v>
      </c>
      <c r="M93">
        <v>8376.1509999999998</v>
      </c>
      <c r="N93">
        <v>8423.4390000000003</v>
      </c>
      <c r="O93">
        <v>8453.1650000000009</v>
      </c>
      <c r="Q93" s="33"/>
      <c r="Z93" s="85"/>
      <c r="AA93" s="116"/>
      <c r="AB93" s="116"/>
      <c r="AC93" s="116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86"/>
    </row>
    <row r="94" spans="1:45" ht="15" thickBot="1" x14ac:dyDescent="0.35">
      <c r="A94" s="32" t="s">
        <v>139</v>
      </c>
      <c r="B94" s="2">
        <v>45624.65902777778</v>
      </c>
      <c r="C94" s="12">
        <f t="shared" si="4"/>
        <v>28.916666666627862</v>
      </c>
      <c r="E94">
        <v>1048.0785000000001</v>
      </c>
      <c r="F94">
        <f t="shared" si="5"/>
        <v>998.33362819500644</v>
      </c>
      <c r="G94" s="33">
        <f t="shared" si="6"/>
        <v>214.89713668012189</v>
      </c>
      <c r="K94" s="32"/>
      <c r="Q94" s="33"/>
      <c r="Z94" s="85"/>
      <c r="AA94" s="116"/>
      <c r="AB94" s="116"/>
      <c r="AC94" s="116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86"/>
    </row>
    <row r="95" spans="1:45" ht="15" thickBot="1" x14ac:dyDescent="0.35">
      <c r="A95" s="32" t="s">
        <v>140</v>
      </c>
      <c r="B95" s="2">
        <v>45624.661111111112</v>
      </c>
      <c r="C95" s="12">
        <f t="shared" si="4"/>
        <v>28.900000000081491</v>
      </c>
      <c r="E95">
        <v>2156.25</v>
      </c>
      <c r="F95">
        <f t="shared" si="5"/>
        <v>2053.9080668055708</v>
      </c>
      <c r="G95" s="33">
        <f t="shared" si="6"/>
        <v>468.24578089445572</v>
      </c>
      <c r="K95" s="34" t="s">
        <v>275</v>
      </c>
      <c r="L95" s="35" cm="1">
        <f t="array" ref="L95:M95">LINEST(L90:L93,K90:K93,FALSE,FALSE)</f>
        <v>1.0498279036186857</v>
      </c>
      <c r="M95" s="36">
        <v>0</v>
      </c>
      <c r="N95" s="36"/>
      <c r="O95" s="36"/>
      <c r="P95" s="36"/>
      <c r="Q95" s="37"/>
      <c r="Z95" s="85"/>
      <c r="AA95" s="116"/>
      <c r="AB95" s="116"/>
      <c r="AC95" s="116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86"/>
    </row>
    <row r="96" spans="1:45" x14ac:dyDescent="0.3">
      <c r="A96" s="32" t="s">
        <v>141</v>
      </c>
      <c r="B96" s="2">
        <v>45624.663888888892</v>
      </c>
      <c r="C96" s="12">
        <f t="shared" si="4"/>
        <v>28.916666666802485</v>
      </c>
      <c r="E96">
        <v>1701.4355</v>
      </c>
      <c r="F96">
        <f t="shared" si="5"/>
        <v>1620.680393553331</v>
      </c>
      <c r="G96" s="33">
        <f t="shared" si="6"/>
        <v>348.8551102904521</v>
      </c>
      <c r="Z96" s="85"/>
      <c r="AA96" s="116"/>
      <c r="AB96" s="116"/>
      <c r="AC96" s="116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86"/>
    </row>
    <row r="97" spans="1:45" ht="15" thickBot="1" x14ac:dyDescent="0.35">
      <c r="A97" s="32" t="s">
        <v>142</v>
      </c>
      <c r="B97" s="2">
        <v>45624.668749999997</v>
      </c>
      <c r="C97" s="12">
        <f t="shared" si="4"/>
        <v>28.983333333337214</v>
      </c>
      <c r="E97">
        <v>2419.5385000000001</v>
      </c>
      <c r="F97">
        <f t="shared" si="5"/>
        <v>2304.7001243346785</v>
      </c>
      <c r="G97" s="33">
        <f t="shared" si="6"/>
        <v>407.44887477751809</v>
      </c>
      <c r="Z97" s="87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9"/>
    </row>
    <row r="98" spans="1:45" x14ac:dyDescent="0.3">
      <c r="A98" s="32" t="s">
        <v>143</v>
      </c>
      <c r="B98" s="2">
        <v>45624.676388888889</v>
      </c>
      <c r="C98" s="12">
        <f t="shared" si="4"/>
        <v>29.100000000034925</v>
      </c>
      <c r="E98">
        <v>3877.77</v>
      </c>
      <c r="F98">
        <f t="shared" si="5"/>
        <v>3693.719691230905</v>
      </c>
      <c r="G98" s="33">
        <f t="shared" si="6"/>
        <v>676.63619144264294</v>
      </c>
    </row>
    <row r="99" spans="1:45" x14ac:dyDescent="0.3">
      <c r="A99" s="32" t="s">
        <v>144</v>
      </c>
      <c r="B99" s="2">
        <v>45624.673611111109</v>
      </c>
      <c r="C99" s="12">
        <f t="shared" si="4"/>
        <v>28.983333333337214</v>
      </c>
      <c r="E99">
        <v>846.726</v>
      </c>
      <c r="F99">
        <f t="shared" si="5"/>
        <v>806.53790690968754</v>
      </c>
      <c r="G99" s="33">
        <f t="shared" si="6"/>
        <v>153.24794233949092</v>
      </c>
    </row>
    <row r="100" spans="1:45" x14ac:dyDescent="0.3">
      <c r="A100" s="32" t="s">
        <v>145</v>
      </c>
      <c r="B100" s="2">
        <v>45624.678472222222</v>
      </c>
      <c r="C100" s="12">
        <f t="shared" si="4"/>
        <v>29.033333333325572</v>
      </c>
      <c r="E100">
        <v>1398.1980000000001</v>
      </c>
      <c r="F100">
        <f t="shared" si="5"/>
        <v>1331.8354324365987</v>
      </c>
      <c r="G100" s="33">
        <f t="shared" si="6"/>
        <v>322.48817826489449</v>
      </c>
    </row>
    <row r="101" spans="1:45" ht="15" thickBot="1" x14ac:dyDescent="0.35">
      <c r="A101" s="32" t="s">
        <v>146</v>
      </c>
      <c r="B101" s="2">
        <v>45624.681250000001</v>
      </c>
      <c r="C101" s="12">
        <f t="shared" si="4"/>
        <v>29.050000000046566</v>
      </c>
      <c r="E101">
        <v>1425.0640000000001</v>
      </c>
      <c r="F101">
        <f t="shared" si="5"/>
        <v>1357.4262934790559</v>
      </c>
      <c r="G101" s="33">
        <f t="shared" si="6"/>
        <v>302.09718214249392</v>
      </c>
    </row>
    <row r="102" spans="1:45" x14ac:dyDescent="0.3">
      <c r="A102" s="32" t="s">
        <v>147</v>
      </c>
      <c r="B102" s="2">
        <v>45624.683333333334</v>
      </c>
      <c r="C102" s="12">
        <f t="shared" si="4"/>
        <v>30.033333333441988</v>
      </c>
      <c r="E102">
        <v>2287.9014999999999</v>
      </c>
      <c r="F102">
        <f t="shared" si="5"/>
        <v>2179.3110014639146</v>
      </c>
      <c r="G102" s="33">
        <f t="shared" si="6"/>
        <v>491.55398717195749</v>
      </c>
      <c r="K102" s="29" t="s">
        <v>276</v>
      </c>
      <c r="L102" s="39">
        <v>21.9</v>
      </c>
    </row>
    <row r="103" spans="1:45" x14ac:dyDescent="0.3">
      <c r="A103" s="32" t="s">
        <v>148</v>
      </c>
      <c r="B103" s="2">
        <v>45624.688194444447</v>
      </c>
      <c r="C103" s="12">
        <f t="shared" si="4"/>
        <v>29.033333333325572</v>
      </c>
      <c r="E103">
        <v>2508.5875000000001</v>
      </c>
      <c r="F103">
        <f t="shared" si="5"/>
        <v>2389.5225982783168</v>
      </c>
      <c r="G103" s="33">
        <f t="shared" si="6"/>
        <v>811.72566664838109</v>
      </c>
      <c r="H103" s="28"/>
      <c r="K103" s="32" t="s">
        <v>277</v>
      </c>
      <c r="L103" s="40">
        <v>979.6</v>
      </c>
    </row>
    <row r="104" spans="1:45" ht="15" thickBot="1" x14ac:dyDescent="0.35">
      <c r="A104" s="32" t="s">
        <v>149</v>
      </c>
      <c r="B104" s="2">
        <v>45624.690972222219</v>
      </c>
      <c r="C104" s="12">
        <f t="shared" si="4"/>
        <v>28.999999999883585</v>
      </c>
      <c r="E104">
        <v>1841.7370000000001</v>
      </c>
      <c r="F104">
        <f t="shared" si="5"/>
        <v>1754.3227739057586</v>
      </c>
      <c r="G104" s="33">
        <f t="shared" si="6"/>
        <v>377.72069592774073</v>
      </c>
      <c r="K104" s="41" t="s">
        <v>278</v>
      </c>
      <c r="L104" s="42">
        <v>38.6</v>
      </c>
    </row>
    <row r="105" spans="1:45" x14ac:dyDescent="0.3">
      <c r="A105" s="32" t="s">
        <v>150</v>
      </c>
      <c r="B105" s="2">
        <v>45624.695833333331</v>
      </c>
      <c r="C105" s="12">
        <f t="shared" si="4"/>
        <v>29.066666666592937</v>
      </c>
      <c r="E105">
        <v>1747.5445</v>
      </c>
      <c r="F105">
        <f t="shared" si="5"/>
        <v>1664.6009255196327</v>
      </c>
      <c r="G105" s="33">
        <f t="shared" si="6"/>
        <v>370.3852108912879</v>
      </c>
    </row>
    <row r="106" spans="1:45" x14ac:dyDescent="0.3">
      <c r="A106" s="32" t="s">
        <v>151</v>
      </c>
      <c r="B106" s="2">
        <v>45624.698611111111</v>
      </c>
      <c r="C106" s="12">
        <f t="shared" si="4"/>
        <v>29.083333333313931</v>
      </c>
      <c r="E106">
        <v>3020.7869999999998</v>
      </c>
      <c r="F106">
        <f t="shared" si="5"/>
        <v>2877.4116115484753</v>
      </c>
      <c r="G106" s="33">
        <f t="shared" si="6"/>
        <v>746.50666301878118</v>
      </c>
    </row>
    <row r="107" spans="1:45" x14ac:dyDescent="0.3">
      <c r="A107" s="32" t="s">
        <v>152</v>
      </c>
      <c r="B107" s="2">
        <v>45624.700694444444</v>
      </c>
      <c r="C107" s="12">
        <f t="shared" si="4"/>
        <v>29.066666666592937</v>
      </c>
      <c r="D107" s="12"/>
      <c r="E107">
        <v>1658.307</v>
      </c>
      <c r="F107">
        <f t="shared" si="5"/>
        <v>1579.5988983374589</v>
      </c>
      <c r="G107" s="33">
        <f t="shared" si="6"/>
        <v>368.153030609697</v>
      </c>
    </row>
    <row r="108" spans="1:45" x14ac:dyDescent="0.3">
      <c r="A108" s="32" t="s">
        <v>153</v>
      </c>
      <c r="B108" s="2">
        <v>45624.703472222223</v>
      </c>
      <c r="C108" s="12">
        <f t="shared" si="4"/>
        <v>29.083333333313931</v>
      </c>
      <c r="E108">
        <v>1768.8620000000001</v>
      </c>
      <c r="F108">
        <f t="shared" si="5"/>
        <v>1684.9066346044456</v>
      </c>
      <c r="G108" s="33">
        <f t="shared" si="6"/>
        <v>365.06244068318097</v>
      </c>
    </row>
    <row r="109" spans="1:45" x14ac:dyDescent="0.3">
      <c r="A109" s="32" t="s">
        <v>154</v>
      </c>
      <c r="B109" s="2">
        <v>45624.705555555556</v>
      </c>
      <c r="C109" s="12">
        <f t="shared" si="4"/>
        <v>29.06666666676756</v>
      </c>
      <c r="E109">
        <v>1711</v>
      </c>
      <c r="F109">
        <f t="shared" si="5"/>
        <v>1629.790934402009</v>
      </c>
      <c r="G109" s="33">
        <f t="shared" si="6"/>
        <v>392.12953759238894</v>
      </c>
    </row>
    <row r="110" spans="1:45" ht="15" thickBot="1" x14ac:dyDescent="0.35">
      <c r="A110" s="41" t="s">
        <v>155</v>
      </c>
      <c r="B110" s="121">
        <v>45624.709722222222</v>
      </c>
      <c r="C110" s="56">
        <f t="shared" si="4"/>
        <v>29.116666666581295</v>
      </c>
      <c r="D110" s="36"/>
      <c r="E110" s="36">
        <v>1525.144</v>
      </c>
      <c r="F110" s="36">
        <f t="shared" si="5"/>
        <v>1452.756203891068</v>
      </c>
      <c r="G110" s="37">
        <f t="shared" si="6"/>
        <v>344.04173070545357</v>
      </c>
    </row>
    <row r="115" spans="1:17" x14ac:dyDescent="0.3">
      <c r="B115" s="2"/>
      <c r="C115" s="12"/>
    </row>
    <row r="116" spans="1:17" x14ac:dyDescent="0.3">
      <c r="B116" s="2"/>
    </row>
    <row r="118" spans="1:17" ht="15" thickBot="1" x14ac:dyDescent="0.35">
      <c r="A118" s="27" t="s">
        <v>298</v>
      </c>
      <c r="B118" s="1"/>
      <c r="C118" s="1"/>
      <c r="D118" s="1"/>
      <c r="E118" s="1"/>
      <c r="F118" s="1"/>
    </row>
    <row r="119" spans="1:17" ht="15" thickBot="1" x14ac:dyDescent="0.35">
      <c r="A119" s="50" t="s">
        <v>283</v>
      </c>
      <c r="B119" s="51" t="s">
        <v>284</v>
      </c>
      <c r="C119" s="51" t="s">
        <v>298</v>
      </c>
      <c r="D119" s="118" t="s">
        <v>312</v>
      </c>
      <c r="E119" s="51" t="s">
        <v>266</v>
      </c>
      <c r="F119" s="51" t="s">
        <v>267</v>
      </c>
      <c r="G119" s="51" t="s">
        <v>299</v>
      </c>
      <c r="H119" s="51" t="s">
        <v>300</v>
      </c>
      <c r="I119" s="52" t="s">
        <v>297</v>
      </c>
      <c r="L119" s="29" t="s">
        <v>263</v>
      </c>
      <c r="M119" s="30" t="s">
        <v>264</v>
      </c>
      <c r="N119" s="30"/>
      <c r="O119" s="30"/>
      <c r="P119" s="31"/>
    </row>
    <row r="120" spans="1:17" x14ac:dyDescent="0.3">
      <c r="A120" s="32" t="s">
        <v>128</v>
      </c>
      <c r="B120" s="2">
        <v>45625.36041666667</v>
      </c>
      <c r="C120" s="12">
        <f>(B120-B8)*24</f>
        <v>46.433333333465271</v>
      </c>
      <c r="D120">
        <v>605</v>
      </c>
      <c r="E120">
        <v>3860.7855</v>
      </c>
      <c r="F120">
        <f>E120/$L$132</f>
        <v>3663.1592113516958</v>
      </c>
      <c r="G120">
        <v>29.87</v>
      </c>
      <c r="H120">
        <f>G120/$L$150</f>
        <v>4.1428472660907749</v>
      </c>
      <c r="I120" s="33">
        <f>F120-F83</f>
        <v>1580.1311336427916</v>
      </c>
      <c r="L120" s="32">
        <v>895</v>
      </c>
      <c r="M120" s="28">
        <v>0.3347222222222222</v>
      </c>
      <c r="N120" s="28">
        <v>0.33750000000000002</v>
      </c>
      <c r="O120" s="28">
        <v>0.39861111111111114</v>
      </c>
      <c r="P120" s="117">
        <v>0.40208333333333335</v>
      </c>
    </row>
    <row r="121" spans="1:17" x14ac:dyDescent="0.3">
      <c r="A121" s="32" t="s">
        <v>129</v>
      </c>
      <c r="B121" s="2">
        <v>45625.470138888886</v>
      </c>
      <c r="C121" s="12">
        <f t="shared" ref="C121:C147" si="7">(B121-B9)*24</f>
        <v>46.533333333267365</v>
      </c>
      <c r="D121">
        <v>403</v>
      </c>
      <c r="E121">
        <v>2057.6819999999998</v>
      </c>
      <c r="F121">
        <f t="shared" ref="F121:F147" si="8">E121/$L$95</f>
        <v>1960.0183924501428</v>
      </c>
      <c r="G121">
        <v>8.8130000000000006</v>
      </c>
      <c r="H121">
        <f t="shared" ref="H121:H147" si="9">G121/$L$150</f>
        <v>1.2223271829949112</v>
      </c>
      <c r="I121" s="33">
        <f t="shared" ref="I121:I147" si="10">F121-F84</f>
        <v>893.19496725873637</v>
      </c>
      <c r="L121" s="32">
        <v>3000</v>
      </c>
      <c r="M121" s="28">
        <v>0.34097222222222223</v>
      </c>
      <c r="N121" s="28">
        <v>0.34444444444444444</v>
      </c>
      <c r="O121" s="28">
        <v>0.44444444444444442</v>
      </c>
      <c r="P121" s="117"/>
    </row>
    <row r="122" spans="1:17" ht="15" thickBot="1" x14ac:dyDescent="0.35">
      <c r="A122" s="32" t="s">
        <v>130</v>
      </c>
      <c r="B122" s="2">
        <v>45625.363194444442</v>
      </c>
      <c r="C122" s="12">
        <f t="shared" si="7"/>
        <v>46.416666666569654</v>
      </c>
      <c r="D122">
        <v>557</v>
      </c>
      <c r="E122">
        <v>5108.5135</v>
      </c>
      <c r="F122">
        <f t="shared" si="8"/>
        <v>4866.0485041322481</v>
      </c>
      <c r="G122">
        <v>13.513</v>
      </c>
      <c r="H122">
        <f t="shared" si="9"/>
        <v>1.8741980283456523</v>
      </c>
      <c r="I122" s="33">
        <f t="shared" si="10"/>
        <v>1921.4130173593308</v>
      </c>
      <c r="L122" s="41">
        <v>7981</v>
      </c>
      <c r="M122" s="119">
        <v>0.34791666666666665</v>
      </c>
      <c r="N122" s="119">
        <v>0.35138888888888886</v>
      </c>
      <c r="O122" s="119">
        <v>0.47291666666666665</v>
      </c>
      <c r="P122" s="120">
        <v>0.47638888888888886</v>
      </c>
    </row>
    <row r="123" spans="1:17" x14ac:dyDescent="0.3">
      <c r="A123" s="32" t="s">
        <v>131</v>
      </c>
      <c r="B123" s="2">
        <v>45625.366666666669</v>
      </c>
      <c r="C123" s="12">
        <f t="shared" si="7"/>
        <v>46.450000000011642</v>
      </c>
      <c r="D123">
        <v>488</v>
      </c>
      <c r="E123">
        <v>16033.065000000001</v>
      </c>
      <c r="F123">
        <f t="shared" si="8"/>
        <v>15272.088829735912</v>
      </c>
      <c r="G123">
        <v>13.449</v>
      </c>
      <c r="H123">
        <f t="shared" si="9"/>
        <v>1.8653214891749188</v>
      </c>
      <c r="I123" s="33">
        <f t="shared" si="10"/>
        <v>5886.9420203987775</v>
      </c>
    </row>
    <row r="124" spans="1:17" x14ac:dyDescent="0.3">
      <c r="A124" s="32" t="s">
        <v>132</v>
      </c>
      <c r="B124" s="2">
        <v>45625.377083333333</v>
      </c>
      <c r="C124" s="12">
        <f t="shared" si="7"/>
        <v>46.649999999965075</v>
      </c>
      <c r="D124">
        <v>623</v>
      </c>
      <c r="E124">
        <v>24870.474999999999</v>
      </c>
      <c r="F124">
        <f t="shared" si="8"/>
        <v>23690.049496944361</v>
      </c>
      <c r="G124">
        <v>12.778499999999999</v>
      </c>
      <c r="H124">
        <f t="shared" si="9"/>
        <v>1.7723258717690311</v>
      </c>
      <c r="I124" s="33">
        <f t="shared" si="10"/>
        <v>8273.2055130768276</v>
      </c>
    </row>
    <row r="125" spans="1:17" ht="15" thickBot="1" x14ac:dyDescent="0.35">
      <c r="A125" s="32" t="s">
        <v>133</v>
      </c>
      <c r="B125" s="2">
        <v>45625.373611111114</v>
      </c>
      <c r="C125" s="12">
        <f t="shared" si="7"/>
        <v>46.516666666720994</v>
      </c>
      <c r="D125">
        <v>729</v>
      </c>
      <c r="E125">
        <v>4124.9639999999999</v>
      </c>
      <c r="F125">
        <f t="shared" si="8"/>
        <v>3929.181140815107</v>
      </c>
      <c r="G125">
        <v>0</v>
      </c>
      <c r="H125">
        <f t="shared" si="9"/>
        <v>0</v>
      </c>
      <c r="I125" s="33">
        <f t="shared" si="10"/>
        <v>1545.6781005788439</v>
      </c>
      <c r="K125" t="s">
        <v>268</v>
      </c>
    </row>
    <row r="126" spans="1:17" x14ac:dyDescent="0.3">
      <c r="A126" s="32" t="s">
        <v>134</v>
      </c>
      <c r="B126" s="2">
        <v>45625.379861111112</v>
      </c>
      <c r="C126" s="12">
        <f t="shared" si="7"/>
        <v>46.566666666709352</v>
      </c>
      <c r="D126">
        <v>491</v>
      </c>
      <c r="E126">
        <v>1450.0495000000001</v>
      </c>
      <c r="F126">
        <f t="shared" si="8"/>
        <v>1381.2259085529902</v>
      </c>
      <c r="G126">
        <v>12.363</v>
      </c>
      <c r="H126">
        <f t="shared" si="9"/>
        <v>1.7146977151215348</v>
      </c>
      <c r="I126" s="33">
        <f t="shared" si="10"/>
        <v>626.62794323948776</v>
      </c>
      <c r="K126" s="29" t="s">
        <v>263</v>
      </c>
      <c r="L126" s="30" t="s">
        <v>269</v>
      </c>
      <c r="M126" s="30" t="s">
        <v>270</v>
      </c>
      <c r="N126" s="30" t="s">
        <v>271</v>
      </c>
      <c r="O126" s="30" t="s">
        <v>272</v>
      </c>
      <c r="P126" s="30" t="s">
        <v>273</v>
      </c>
      <c r="Q126" s="31" t="s">
        <v>274</v>
      </c>
    </row>
    <row r="127" spans="1:17" x14ac:dyDescent="0.3">
      <c r="A127" s="32" t="s">
        <v>135</v>
      </c>
      <c r="B127" s="2">
        <v>45625.383333333331</v>
      </c>
      <c r="C127" s="12">
        <f t="shared" si="7"/>
        <v>46.566666666534729</v>
      </c>
      <c r="D127">
        <v>561</v>
      </c>
      <c r="E127">
        <v>2977.3649999999998</v>
      </c>
      <c r="F127">
        <f t="shared" si="8"/>
        <v>2836.050546701249</v>
      </c>
      <c r="G127">
        <v>12.552</v>
      </c>
      <c r="H127">
        <f t="shared" si="9"/>
        <v>1.7409112448601072</v>
      </c>
      <c r="I127" s="33">
        <f t="shared" si="10"/>
        <v>1170.6999745040159</v>
      </c>
      <c r="K127" s="32">
        <v>0</v>
      </c>
      <c r="L127">
        <v>0</v>
      </c>
      <c r="Q127" s="33"/>
    </row>
    <row r="128" spans="1:17" x14ac:dyDescent="0.3">
      <c r="A128" s="32" t="s">
        <v>136</v>
      </c>
      <c r="B128" s="2">
        <v>45625.39166666667</v>
      </c>
      <c r="C128" s="12">
        <f t="shared" si="7"/>
        <v>46.716666666674428</v>
      </c>
      <c r="D128">
        <v>658</v>
      </c>
      <c r="E128">
        <v>5039.8504999999996</v>
      </c>
      <c r="F128">
        <f t="shared" si="8"/>
        <v>4800.6444509885632</v>
      </c>
      <c r="G128">
        <v>13.252000000000001</v>
      </c>
      <c r="H128">
        <f t="shared" si="9"/>
        <v>1.8379983920400049</v>
      </c>
      <c r="I128" s="33">
        <f t="shared" si="10"/>
        <v>2013.5605014055704</v>
      </c>
      <c r="K128" s="32">
        <v>895</v>
      </c>
      <c r="L128">
        <f>AVERAGE(M128:Q128)</f>
        <v>892.49862500000006</v>
      </c>
      <c r="M128">
        <v>848.11199999999997</v>
      </c>
      <c r="N128">
        <v>854.27200000000005</v>
      </c>
      <c r="O128">
        <v>936.90300000000002</v>
      </c>
      <c r="P128">
        <v>930.70749999999998</v>
      </c>
      <c r="Q128" s="33"/>
    </row>
    <row r="129" spans="1:17" x14ac:dyDescent="0.3">
      <c r="A129" s="32" t="s">
        <v>137</v>
      </c>
      <c r="B129" s="2">
        <v>45625.404166666667</v>
      </c>
      <c r="C129" s="12">
        <f t="shared" si="7"/>
        <v>46.950000000069849</v>
      </c>
      <c r="D129">
        <v>693</v>
      </c>
      <c r="E129">
        <v>4030.9929999999999</v>
      </c>
      <c r="F129">
        <f t="shared" si="8"/>
        <v>3839.6702793909744</v>
      </c>
      <c r="G129">
        <v>13.147500000000001</v>
      </c>
      <c r="H129">
        <f t="shared" si="9"/>
        <v>1.8235046679252918</v>
      </c>
      <c r="I129" s="33">
        <f t="shared" si="10"/>
        <v>1568.2618020772293</v>
      </c>
      <c r="K129" s="32">
        <v>3000</v>
      </c>
      <c r="L129">
        <f>AVERAGE(M129:Q129)</f>
        <v>3140.7579999999998</v>
      </c>
      <c r="M129">
        <v>3196.694</v>
      </c>
      <c r="N129">
        <v>3189.47</v>
      </c>
      <c r="O129">
        <v>3036.11</v>
      </c>
      <c r="Q129" s="33"/>
    </row>
    <row r="130" spans="1:17" x14ac:dyDescent="0.3">
      <c r="A130" s="32" t="s">
        <v>138</v>
      </c>
      <c r="B130" s="2">
        <v>45625.406944444447</v>
      </c>
      <c r="C130" s="12">
        <f t="shared" si="7"/>
        <v>46.916666666802485</v>
      </c>
      <c r="D130">
        <v>100</v>
      </c>
      <c r="E130">
        <v>5561.7160000000003</v>
      </c>
      <c r="F130">
        <f t="shared" si="8"/>
        <v>5297.7406876204586</v>
      </c>
      <c r="G130">
        <v>1.857</v>
      </c>
      <c r="H130">
        <f t="shared" si="9"/>
        <v>0.25755833187581412</v>
      </c>
      <c r="I130" s="33">
        <f t="shared" si="10"/>
        <v>2117.6361309667432</v>
      </c>
      <c r="K130" s="32">
        <v>7981</v>
      </c>
      <c r="L130">
        <f>AVERAGE(M130,N130,P130)</f>
        <v>8425.1956666666665</v>
      </c>
      <c r="M130">
        <v>8623.4014999999999</v>
      </c>
      <c r="N130">
        <v>8612.0835000000006</v>
      </c>
      <c r="O130" s="4">
        <v>7376.6549999999997</v>
      </c>
      <c r="P130">
        <v>8040.1019999999999</v>
      </c>
      <c r="Q130" s="33"/>
    </row>
    <row r="131" spans="1:17" ht="15" thickBot="1" x14ac:dyDescent="0.35">
      <c r="A131" s="32" t="s">
        <v>139</v>
      </c>
      <c r="B131" s="2">
        <v>45625.410416666666</v>
      </c>
      <c r="C131" s="12">
        <f t="shared" si="7"/>
        <v>46.949999999895226</v>
      </c>
      <c r="D131">
        <v>742</v>
      </c>
      <c r="E131">
        <v>1790.1210000000001</v>
      </c>
      <c r="F131">
        <f t="shared" si="8"/>
        <v>1705.1566202704025</v>
      </c>
      <c r="G131">
        <v>9.9239999999999995</v>
      </c>
      <c r="H131">
        <f t="shared" si="9"/>
        <v>1.3764183551618629</v>
      </c>
      <c r="I131" s="33">
        <f t="shared" si="10"/>
        <v>706.82299207539609</v>
      </c>
      <c r="K131" s="32"/>
      <c r="Q131" s="33"/>
    </row>
    <row r="132" spans="1:17" ht="15" thickBot="1" x14ac:dyDescent="0.35">
      <c r="A132" s="32" t="s">
        <v>140</v>
      </c>
      <c r="B132" s="2">
        <v>45625.413194444445</v>
      </c>
      <c r="C132" s="12">
        <f t="shared" si="7"/>
        <v>46.950000000069849</v>
      </c>
      <c r="D132">
        <v>426</v>
      </c>
      <c r="E132">
        <v>3707.0920000000001</v>
      </c>
      <c r="F132">
        <f t="shared" si="8"/>
        <v>3531.1425684361266</v>
      </c>
      <c r="G132">
        <v>12.606</v>
      </c>
      <c r="H132">
        <f t="shared" si="9"/>
        <v>1.7484008247854135</v>
      </c>
      <c r="I132" s="33">
        <f t="shared" si="10"/>
        <v>1477.2345016305558</v>
      </c>
      <c r="K132" s="34" t="s">
        <v>275</v>
      </c>
      <c r="L132" s="35" cm="1">
        <f t="array" ref="L132:M132">LINEST(L127:L130,K127:K130,FALSE,FALSE)</f>
        <v>1.0539496858438158</v>
      </c>
      <c r="M132" s="36">
        <v>0</v>
      </c>
      <c r="N132" s="36"/>
      <c r="O132" s="36"/>
      <c r="P132" s="36"/>
      <c r="Q132" s="37"/>
    </row>
    <row r="133" spans="1:17" x14ac:dyDescent="0.3">
      <c r="A133" s="32" t="s">
        <v>141</v>
      </c>
      <c r="B133" s="2">
        <v>45625.416666666664</v>
      </c>
      <c r="C133" s="12">
        <f t="shared" si="7"/>
        <v>46.983333333337214</v>
      </c>
      <c r="D133">
        <v>664</v>
      </c>
      <c r="E133">
        <v>2997.6005</v>
      </c>
      <c r="F133">
        <f t="shared" si="8"/>
        <v>2855.3256106714957</v>
      </c>
      <c r="G133">
        <v>12.446999999999999</v>
      </c>
      <c r="H133">
        <f t="shared" si="9"/>
        <v>1.7263481727831225</v>
      </c>
      <c r="I133" s="33">
        <f t="shared" si="10"/>
        <v>1234.6452171181647</v>
      </c>
    </row>
    <row r="134" spans="1:17" x14ac:dyDescent="0.3">
      <c r="A134" s="32" t="s">
        <v>142</v>
      </c>
      <c r="B134" s="2">
        <v>45625.419444444444</v>
      </c>
      <c r="C134" s="12">
        <f t="shared" si="7"/>
        <v>47.000000000058208</v>
      </c>
      <c r="D134">
        <v>410</v>
      </c>
      <c r="E134">
        <v>4270.8164999999999</v>
      </c>
      <c r="F134">
        <f t="shared" si="8"/>
        <v>4068.111054467865</v>
      </c>
      <c r="G134">
        <v>12.65</v>
      </c>
      <c r="H134">
        <f t="shared" si="9"/>
        <v>1.754503445465293</v>
      </c>
      <c r="I134" s="33">
        <f t="shared" si="10"/>
        <v>1763.4109301331864</v>
      </c>
    </row>
    <row r="135" spans="1:17" x14ac:dyDescent="0.3">
      <c r="A135" s="32" t="s">
        <v>143</v>
      </c>
      <c r="B135" s="2">
        <v>45625.427083333336</v>
      </c>
      <c r="C135" s="12">
        <f t="shared" si="7"/>
        <v>47.116666666755918</v>
      </c>
      <c r="D135">
        <v>725</v>
      </c>
      <c r="E135">
        <v>6367.558</v>
      </c>
      <c r="F135">
        <f t="shared" si="8"/>
        <v>6065.3350687779002</v>
      </c>
      <c r="G135">
        <v>5.7240000000000002</v>
      </c>
      <c r="H135">
        <f t="shared" si="9"/>
        <v>0.79389547208247724</v>
      </c>
      <c r="I135" s="33">
        <f t="shared" si="10"/>
        <v>2371.6153775469952</v>
      </c>
    </row>
    <row r="136" spans="1:17" ht="15" thickBot="1" x14ac:dyDescent="0.35">
      <c r="A136" s="32" t="s">
        <v>144</v>
      </c>
      <c r="B136" s="2">
        <v>45625.435416666667</v>
      </c>
      <c r="C136" s="12">
        <f t="shared" si="7"/>
        <v>47.266666666720994</v>
      </c>
      <c r="D136">
        <v>599</v>
      </c>
      <c r="E136">
        <v>1533.7555</v>
      </c>
      <c r="F136">
        <f t="shared" si="8"/>
        <v>1460.9589769077852</v>
      </c>
      <c r="G136">
        <v>10.606999999999999</v>
      </c>
      <c r="H136">
        <f t="shared" si="9"/>
        <v>1.4711476716245344</v>
      </c>
      <c r="I136" s="33">
        <f t="shared" si="10"/>
        <v>654.42106999809766</v>
      </c>
    </row>
    <row r="137" spans="1:17" x14ac:dyDescent="0.3">
      <c r="A137" s="32" t="s">
        <v>145</v>
      </c>
      <c r="B137" s="2">
        <v>45625.432638888888</v>
      </c>
      <c r="C137" s="12">
        <f t="shared" si="7"/>
        <v>47.133333333302289</v>
      </c>
      <c r="D137">
        <v>547</v>
      </c>
      <c r="E137">
        <v>2405.0915</v>
      </c>
      <c r="F137">
        <f t="shared" si="8"/>
        <v>2290.9388212199469</v>
      </c>
      <c r="G137">
        <v>7.18</v>
      </c>
      <c r="H137">
        <f t="shared" si="9"/>
        <v>0.99583673821666419</v>
      </c>
      <c r="I137" s="33">
        <f t="shared" si="10"/>
        <v>959.10338878334824</v>
      </c>
      <c r="L137" s="29" t="s">
        <v>301</v>
      </c>
      <c r="M137" s="30" t="s">
        <v>264</v>
      </c>
      <c r="N137" s="30"/>
      <c r="O137" s="31"/>
    </row>
    <row r="138" spans="1:17" x14ac:dyDescent="0.3">
      <c r="A138" s="32" t="s">
        <v>146</v>
      </c>
      <c r="B138" s="2">
        <v>45625.438194444447</v>
      </c>
      <c r="C138" s="12">
        <f t="shared" si="7"/>
        <v>47.216666666732635</v>
      </c>
      <c r="D138">
        <v>687</v>
      </c>
      <c r="E138">
        <v>2410.9544999999998</v>
      </c>
      <c r="F138">
        <f t="shared" si="8"/>
        <v>2296.5235460875092</v>
      </c>
      <c r="G138">
        <v>12.583</v>
      </c>
      <c r="H138">
        <f t="shared" si="9"/>
        <v>1.7452108185209312</v>
      </c>
      <c r="I138" s="33">
        <f t="shared" si="10"/>
        <v>939.09725260845335</v>
      </c>
      <c r="L138" s="32">
        <v>0.8</v>
      </c>
      <c r="M138" s="28">
        <v>0.34097222222222223</v>
      </c>
      <c r="N138" s="28">
        <v>0.34444444444444444</v>
      </c>
      <c r="O138" s="117">
        <v>0.44444444444444442</v>
      </c>
      <c r="P138" s="28"/>
    </row>
    <row r="139" spans="1:17" x14ac:dyDescent="0.3">
      <c r="A139" s="32" t="s">
        <v>147</v>
      </c>
      <c r="B139" s="2">
        <v>45625.440972222219</v>
      </c>
      <c r="C139" s="12">
        <f t="shared" si="7"/>
        <v>48.216666666674428</v>
      </c>
      <c r="D139">
        <v>432</v>
      </c>
      <c r="E139">
        <v>3754.3409999999999</v>
      </c>
      <c r="F139">
        <f t="shared" si="8"/>
        <v>3576.148992667313</v>
      </c>
      <c r="G139">
        <v>12.711</v>
      </c>
      <c r="H139">
        <f t="shared" si="9"/>
        <v>1.7629638968623982</v>
      </c>
      <c r="I139" s="33">
        <f t="shared" si="10"/>
        <v>1396.8379912033984</v>
      </c>
      <c r="L139" s="32">
        <v>2</v>
      </c>
      <c r="M139" s="28">
        <v>0.3347222222222222</v>
      </c>
      <c r="N139" s="28">
        <v>0.33750000000000002</v>
      </c>
      <c r="O139" s="117">
        <v>0.39861111111111114</v>
      </c>
      <c r="P139" s="28"/>
    </row>
    <row r="140" spans="1:17" ht="15" thickBot="1" x14ac:dyDescent="0.35">
      <c r="A140" s="32" t="s">
        <v>148</v>
      </c>
      <c r="B140" s="2">
        <v>45625.447222222225</v>
      </c>
      <c r="C140" s="12">
        <f t="shared" si="7"/>
        <v>47.25</v>
      </c>
      <c r="D140">
        <v>509</v>
      </c>
      <c r="E140">
        <v>4281.5519999999997</v>
      </c>
      <c r="F140">
        <f t="shared" si="8"/>
        <v>4078.337016230736</v>
      </c>
      <c r="G140" s="43">
        <v>12.743</v>
      </c>
      <c r="H140">
        <f t="shared" si="9"/>
        <v>1.767402166447765</v>
      </c>
      <c r="I140" s="33">
        <f t="shared" si="10"/>
        <v>1688.8144179524193</v>
      </c>
      <c r="L140" s="41">
        <v>1000</v>
      </c>
      <c r="M140" s="119">
        <v>0.35347222222222224</v>
      </c>
      <c r="N140" s="119">
        <v>0.35694444444444445</v>
      </c>
      <c r="O140" s="120">
        <v>0.47638888888888886</v>
      </c>
      <c r="P140" s="28"/>
    </row>
    <row r="141" spans="1:17" x14ac:dyDescent="0.3">
      <c r="A141" s="32" t="s">
        <v>149</v>
      </c>
      <c r="B141" s="2">
        <v>45625.45</v>
      </c>
      <c r="C141" s="12">
        <f t="shared" si="7"/>
        <v>47.216666666558012</v>
      </c>
      <c r="D141">
        <v>640</v>
      </c>
      <c r="E141">
        <v>3166.3609999999999</v>
      </c>
      <c r="F141">
        <f t="shared" si="8"/>
        <v>3016.0762436259961</v>
      </c>
      <c r="G141">
        <v>12.554</v>
      </c>
      <c r="H141">
        <f t="shared" si="9"/>
        <v>1.7411886367091927</v>
      </c>
      <c r="I141" s="33">
        <f t="shared" si="10"/>
        <v>1261.7534697202375</v>
      </c>
    </row>
    <row r="142" spans="1:17" x14ac:dyDescent="0.3">
      <c r="A142" s="32" t="s">
        <v>150</v>
      </c>
      <c r="B142" s="2">
        <v>45625.452777777777</v>
      </c>
      <c r="C142" s="12">
        <f t="shared" si="7"/>
        <v>47.233333333279006</v>
      </c>
      <c r="D142">
        <v>436</v>
      </c>
      <c r="E142">
        <v>3007.5050000000001</v>
      </c>
      <c r="F142">
        <f t="shared" si="8"/>
        <v>2864.7600141254902</v>
      </c>
      <c r="G142">
        <v>13.54</v>
      </c>
      <c r="H142">
        <f t="shared" si="9"/>
        <v>1.8779428183083056</v>
      </c>
      <c r="I142" s="33">
        <f t="shared" si="10"/>
        <v>1200.1590886058575</v>
      </c>
    </row>
    <row r="143" spans="1:17" ht="15" thickBot="1" x14ac:dyDescent="0.35">
      <c r="A143" s="32" t="s">
        <v>151</v>
      </c>
      <c r="B143" s="2">
        <v>45625.455555555556</v>
      </c>
      <c r="C143" s="12">
        <f t="shared" si="7"/>
        <v>47.25</v>
      </c>
      <c r="D143">
        <v>314</v>
      </c>
      <c r="E143">
        <v>5111.3190000000004</v>
      </c>
      <c r="F143">
        <f t="shared" si="8"/>
        <v>4868.7208468946483</v>
      </c>
      <c r="G143">
        <v>13.361000000000001</v>
      </c>
      <c r="H143">
        <f t="shared" si="9"/>
        <v>1.8531162478151604</v>
      </c>
      <c r="I143" s="33">
        <f t="shared" si="10"/>
        <v>1991.309235346173</v>
      </c>
      <c r="K143" t="s">
        <v>303</v>
      </c>
    </row>
    <row r="144" spans="1:17" x14ac:dyDescent="0.3">
      <c r="A144" s="32" t="s">
        <v>152</v>
      </c>
      <c r="B144" s="2">
        <v>45625.459027777775</v>
      </c>
      <c r="C144" s="12">
        <f t="shared" si="7"/>
        <v>47.266666666546371</v>
      </c>
      <c r="D144">
        <v>685</v>
      </c>
      <c r="E144">
        <v>2907.5630000000001</v>
      </c>
      <c r="F144">
        <f t="shared" si="8"/>
        <v>2769.5615538297538</v>
      </c>
      <c r="G144">
        <v>13.673999999999999</v>
      </c>
      <c r="H144">
        <f t="shared" si="9"/>
        <v>1.8965280721970288</v>
      </c>
      <c r="I144" s="33">
        <f t="shared" si="10"/>
        <v>1189.962655492295</v>
      </c>
      <c r="K144" s="29" t="s">
        <v>301</v>
      </c>
      <c r="L144" s="30" t="s">
        <v>269</v>
      </c>
      <c r="M144" s="30" t="s">
        <v>270</v>
      </c>
      <c r="N144" s="30" t="s">
        <v>271</v>
      </c>
      <c r="O144" s="30" t="s">
        <v>272</v>
      </c>
      <c r="P144" s="30" t="s">
        <v>273</v>
      </c>
      <c r="Q144" s="31" t="s">
        <v>274</v>
      </c>
    </row>
    <row r="145" spans="1:17" x14ac:dyDescent="0.3">
      <c r="A145" s="32" t="s">
        <v>153</v>
      </c>
      <c r="B145" s="2">
        <v>45625.461805555555</v>
      </c>
      <c r="C145" s="12">
        <f t="shared" si="7"/>
        <v>47.283333333267365</v>
      </c>
      <c r="D145">
        <v>746</v>
      </c>
      <c r="E145">
        <v>2968.7105000000001</v>
      </c>
      <c r="F145">
        <f t="shared" si="8"/>
        <v>2827.8068145903303</v>
      </c>
      <c r="G145">
        <v>12.911</v>
      </c>
      <c r="H145">
        <f t="shared" si="9"/>
        <v>1.7907030817709404</v>
      </c>
      <c r="I145" s="33">
        <f t="shared" si="10"/>
        <v>1142.9001799858847</v>
      </c>
      <c r="K145" s="32">
        <v>0</v>
      </c>
      <c r="L145">
        <v>0</v>
      </c>
      <c r="M145">
        <v>0</v>
      </c>
      <c r="N145">
        <v>0</v>
      </c>
      <c r="Q145" s="33"/>
    </row>
    <row r="146" spans="1:17" x14ac:dyDescent="0.3">
      <c r="A146" s="32" t="s">
        <v>154</v>
      </c>
      <c r="B146" s="2">
        <v>45625.464583333334</v>
      </c>
      <c r="C146" s="12">
        <f t="shared" si="7"/>
        <v>47.283333333441988</v>
      </c>
      <c r="D146">
        <v>566</v>
      </c>
      <c r="E146">
        <v>2850.73</v>
      </c>
      <c r="F146">
        <f t="shared" si="8"/>
        <v>2715.4260142769367</v>
      </c>
      <c r="G146">
        <v>12.843999999999999</v>
      </c>
      <c r="H146">
        <f>G146/$L$150</f>
        <v>1.7814104548265788</v>
      </c>
      <c r="I146" s="33">
        <f t="shared" si="10"/>
        <v>1085.6350798749277</v>
      </c>
      <c r="K146" s="32">
        <v>0.8</v>
      </c>
      <c r="L146">
        <f>AVERAGE(M146:Q146)</f>
        <v>7.0266666666666664</v>
      </c>
      <c r="M146">
        <v>5.9870000000000001</v>
      </c>
      <c r="N146">
        <v>8.1549999999999994</v>
      </c>
      <c r="O146">
        <v>6.9379999999999997</v>
      </c>
      <c r="Q146" s="33"/>
    </row>
    <row r="147" spans="1:17" ht="15" thickBot="1" x14ac:dyDescent="0.35">
      <c r="A147" s="41" t="s">
        <v>155</v>
      </c>
      <c r="B147" s="121">
        <v>45625.467361111114</v>
      </c>
      <c r="C147" s="56">
        <f t="shared" si="7"/>
        <v>47.299999999988358</v>
      </c>
      <c r="D147" s="36">
        <v>320</v>
      </c>
      <c r="E147" s="36">
        <v>2584.34</v>
      </c>
      <c r="F147" s="36">
        <f t="shared" si="8"/>
        <v>2461.6796630113899</v>
      </c>
      <c r="G147" s="36">
        <v>12.692</v>
      </c>
      <c r="H147" s="36">
        <f t="shared" si="9"/>
        <v>1.7603286742960869</v>
      </c>
      <c r="I147" s="37">
        <f t="shared" si="10"/>
        <v>1008.9234591203219</v>
      </c>
      <c r="K147" s="32">
        <v>2</v>
      </c>
      <c r="L147">
        <f>AVERAGE(N147,O147)</f>
        <v>14.92775</v>
      </c>
      <c r="M147" s="4">
        <v>16.029</v>
      </c>
      <c r="N147">
        <v>14.872</v>
      </c>
      <c r="O147">
        <v>14.983499999999999</v>
      </c>
      <c r="Q147" s="33"/>
    </row>
    <row r="148" spans="1:17" x14ac:dyDescent="0.3">
      <c r="K148" s="32">
        <v>1000</v>
      </c>
      <c r="L148">
        <f>AVERAGE(M148:Q148)</f>
        <v>7210.015166666667</v>
      </c>
      <c r="M148">
        <v>7197.1390000000001</v>
      </c>
      <c r="N148">
        <v>7255.2780000000002</v>
      </c>
      <c r="O148">
        <v>7177.6284999999998</v>
      </c>
      <c r="Q148" s="33"/>
    </row>
    <row r="149" spans="1:17" ht="15" thickBot="1" x14ac:dyDescent="0.35">
      <c r="K149" s="32"/>
      <c r="Q149" s="33"/>
    </row>
    <row r="150" spans="1:17" ht="15" thickBot="1" x14ac:dyDescent="0.35">
      <c r="K150" s="34" t="s">
        <v>302</v>
      </c>
      <c r="L150" s="35" cm="1">
        <f t="array" ref="L150:M150">LINEST(L145:L148,K145:K148,FALSE,FALSE)</f>
        <v>7.2100171890202418</v>
      </c>
      <c r="M150" s="36">
        <v>0</v>
      </c>
      <c r="N150" s="36"/>
      <c r="O150" s="36"/>
      <c r="P150" s="36"/>
      <c r="Q150" s="37"/>
    </row>
    <row r="155" spans="1:17" ht="15" thickBot="1" x14ac:dyDescent="0.35"/>
    <row r="156" spans="1:17" x14ac:dyDescent="0.3">
      <c r="K156" s="29" t="s">
        <v>276</v>
      </c>
      <c r="L156" s="39">
        <v>22</v>
      </c>
    </row>
    <row r="157" spans="1:17" x14ac:dyDescent="0.3">
      <c r="K157" s="32" t="s">
        <v>277</v>
      </c>
      <c r="L157" s="40">
        <v>989.5</v>
      </c>
    </row>
    <row r="158" spans="1:17" ht="15" thickBot="1" x14ac:dyDescent="0.35">
      <c r="K158" s="41" t="s">
        <v>278</v>
      </c>
      <c r="L158" s="42">
        <v>36.700000000000003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34EA-051B-42EF-B319-55F1634B28D0}">
  <dimension ref="A1:BP172"/>
  <sheetViews>
    <sheetView zoomScale="90" workbookViewId="0">
      <selection activeCell="C50" sqref="C50"/>
    </sheetView>
  </sheetViews>
  <sheetFormatPr baseColWidth="10" defaultRowHeight="14.4" x14ac:dyDescent="0.3"/>
  <cols>
    <col min="2" max="2" width="11.6640625" bestFit="1" customWidth="1"/>
    <col min="3" max="3" width="11.6640625" customWidth="1"/>
    <col min="4" max="4" width="19.109375" customWidth="1"/>
    <col min="5" max="5" width="11.6640625" customWidth="1"/>
    <col min="6" max="6" width="11.6640625" bestFit="1" customWidth="1"/>
    <col min="7" max="7" width="11.6640625" customWidth="1"/>
    <col min="8" max="8" width="12" bestFit="1" customWidth="1"/>
    <col min="14" max="15" width="18.33203125" bestFit="1" customWidth="1"/>
  </cols>
  <sheetData>
    <row r="1" spans="1:68" ht="18" x14ac:dyDescent="0.3">
      <c r="A1" s="44" t="s">
        <v>426</v>
      </c>
      <c r="AC1" s="225" t="s">
        <v>268</v>
      </c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  <c r="AQ1" s="226"/>
      <c r="AR1" s="226"/>
      <c r="AS1" s="226"/>
      <c r="AT1" s="226"/>
      <c r="AU1" s="227"/>
      <c r="AW1" s="91"/>
      <c r="AX1" s="92"/>
      <c r="AY1" s="92"/>
      <c r="AZ1" s="92"/>
      <c r="BA1" s="92"/>
      <c r="BB1" s="92"/>
      <c r="BC1" s="92"/>
      <c r="BD1" s="92"/>
      <c r="BE1" s="92"/>
      <c r="BF1" s="93" t="s">
        <v>303</v>
      </c>
      <c r="BG1" s="92"/>
      <c r="BH1" s="92"/>
      <c r="BI1" s="92"/>
      <c r="BJ1" s="92"/>
      <c r="BK1" s="92"/>
      <c r="BL1" s="92"/>
      <c r="BM1" s="92"/>
      <c r="BN1" s="92"/>
      <c r="BO1" s="92"/>
      <c r="BP1" s="94"/>
    </row>
    <row r="2" spans="1:68" x14ac:dyDescent="0.3">
      <c r="A2" s="115" t="s">
        <v>425</v>
      </c>
      <c r="AC2" s="85"/>
      <c r="AD2" s="116"/>
      <c r="AE2" s="116"/>
      <c r="AF2" s="116"/>
      <c r="AG2" s="116"/>
      <c r="AH2" s="116"/>
      <c r="AI2" s="116"/>
      <c r="AJ2" s="116"/>
      <c r="AK2" s="116"/>
      <c r="AL2" s="116"/>
      <c r="AM2" s="116"/>
      <c r="AN2" s="116"/>
      <c r="AO2" s="116"/>
      <c r="AP2" s="116"/>
      <c r="AQ2" s="116"/>
      <c r="AR2" s="116"/>
      <c r="AS2" s="116"/>
      <c r="AT2" s="116"/>
      <c r="AU2" s="86"/>
      <c r="AW2" s="95"/>
      <c r="AX2" s="122"/>
      <c r="AY2" s="122"/>
      <c r="AZ2" s="122"/>
      <c r="BA2" s="122"/>
      <c r="BB2" s="122"/>
      <c r="BC2" s="122"/>
      <c r="BD2" s="122"/>
      <c r="BE2" s="122"/>
      <c r="BF2" s="122"/>
      <c r="BG2" s="122"/>
      <c r="BH2" s="122"/>
      <c r="BI2" s="122"/>
      <c r="BJ2" s="122"/>
      <c r="BK2" s="122"/>
      <c r="BL2" s="122"/>
      <c r="BM2" s="122"/>
      <c r="BN2" s="122"/>
      <c r="BO2" s="122"/>
      <c r="BP2" s="96"/>
    </row>
    <row r="3" spans="1:68" ht="18" x14ac:dyDescent="0.3">
      <c r="A3" s="44"/>
      <c r="AC3" s="85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86"/>
      <c r="AW3" s="95"/>
      <c r="AX3" s="122"/>
      <c r="AY3" s="122"/>
      <c r="AZ3" s="122"/>
      <c r="BA3" s="122"/>
      <c r="BB3" s="122"/>
      <c r="BC3" s="122"/>
      <c r="BD3" s="122"/>
      <c r="BE3" s="122"/>
      <c r="BF3" s="122"/>
      <c r="BG3" s="122"/>
      <c r="BH3" s="122"/>
      <c r="BI3" s="122"/>
      <c r="BJ3" s="122"/>
      <c r="BK3" s="122"/>
      <c r="BL3" s="122"/>
      <c r="BM3" s="122"/>
      <c r="BN3" s="122"/>
      <c r="BO3" s="122"/>
      <c r="BP3" s="96"/>
    </row>
    <row r="4" spans="1:68" ht="18.600000000000001" thickBot="1" x14ac:dyDescent="0.35">
      <c r="A4" s="44"/>
      <c r="AC4" s="85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6"/>
      <c r="AQ4" s="116"/>
      <c r="AR4" s="116"/>
      <c r="AS4" s="116"/>
      <c r="AT4" s="116"/>
      <c r="AU4" s="86"/>
      <c r="AW4" s="95"/>
      <c r="AX4" s="122"/>
      <c r="AY4" s="122"/>
      <c r="AZ4" s="122"/>
      <c r="BA4" s="122"/>
      <c r="BB4" s="122"/>
      <c r="BC4" s="122"/>
      <c r="BD4" s="122"/>
      <c r="BE4" s="122"/>
      <c r="BF4" s="122"/>
      <c r="BG4" s="122"/>
      <c r="BH4" s="122"/>
      <c r="BI4" s="122"/>
      <c r="BJ4" s="122"/>
      <c r="BK4" s="122"/>
      <c r="BL4" s="122"/>
      <c r="BM4" s="122"/>
      <c r="BN4" s="122"/>
      <c r="BO4" s="122"/>
      <c r="BP4" s="96"/>
    </row>
    <row r="5" spans="1:68" x14ac:dyDescent="0.3">
      <c r="O5" s="29" t="s">
        <v>263</v>
      </c>
      <c r="P5" s="30" t="s">
        <v>264</v>
      </c>
      <c r="Q5" s="30"/>
      <c r="R5" s="31"/>
      <c r="AC5" s="85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86"/>
      <c r="AW5" s="95"/>
      <c r="AX5" s="122"/>
      <c r="AY5" s="122"/>
      <c r="AZ5" s="122"/>
      <c r="BA5" s="122"/>
      <c r="BB5" s="122"/>
      <c r="BC5" s="122"/>
      <c r="BD5" s="122"/>
      <c r="BE5" s="122"/>
      <c r="BF5" s="122"/>
      <c r="BG5" s="122"/>
      <c r="BH5" s="122"/>
      <c r="BI5" s="122"/>
      <c r="BJ5" s="122"/>
      <c r="BK5" s="122"/>
      <c r="BL5" s="122"/>
      <c r="BM5" s="122"/>
      <c r="BN5" s="122"/>
      <c r="BO5" s="122"/>
      <c r="BP5" s="96"/>
    </row>
    <row r="6" spans="1:68" ht="15" thickBot="1" x14ac:dyDescent="0.35">
      <c r="A6" s="27" t="s">
        <v>265</v>
      </c>
      <c r="O6" s="32">
        <v>895</v>
      </c>
      <c r="P6" s="28">
        <v>0.58194444444444449</v>
      </c>
      <c r="Q6" s="28">
        <v>0.58472222222222225</v>
      </c>
      <c r="R6" s="117">
        <v>0.64513888888888893</v>
      </c>
      <c r="S6" s="28"/>
      <c r="AC6" s="85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86"/>
      <c r="AW6" s="95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2"/>
      <c r="BO6" s="122"/>
      <c r="BP6" s="96"/>
    </row>
    <row r="7" spans="1:68" ht="15" thickBot="1" x14ac:dyDescent="0.35">
      <c r="A7" s="50" t="s">
        <v>283</v>
      </c>
      <c r="B7" s="51" t="s">
        <v>284</v>
      </c>
      <c r="C7" s="51" t="s">
        <v>265</v>
      </c>
      <c r="D7" s="118" t="s">
        <v>312</v>
      </c>
      <c r="E7" s="51" t="s">
        <v>266</v>
      </c>
      <c r="F7" s="51" t="s">
        <v>267</v>
      </c>
      <c r="G7" s="51" t="s">
        <v>299</v>
      </c>
      <c r="H7" s="52" t="s">
        <v>300</v>
      </c>
      <c r="O7" s="32">
        <v>3000</v>
      </c>
      <c r="P7" s="28">
        <v>0.6020833333333333</v>
      </c>
      <c r="Q7" s="28">
        <v>0.60555555555555551</v>
      </c>
      <c r="R7" s="117">
        <v>0.68055555555555558</v>
      </c>
      <c r="S7" s="28"/>
      <c r="AC7" s="85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86"/>
      <c r="AW7" s="95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2"/>
      <c r="BO7" s="122"/>
      <c r="BP7" s="96"/>
    </row>
    <row r="8" spans="1:68" ht="15" thickBot="1" x14ac:dyDescent="0.35">
      <c r="A8" s="32" t="s">
        <v>156</v>
      </c>
      <c r="B8" s="2">
        <v>45635.616666666669</v>
      </c>
      <c r="C8" s="12">
        <v>0</v>
      </c>
      <c r="D8">
        <v>771</v>
      </c>
      <c r="E8">
        <v>41.423000000000002</v>
      </c>
      <c r="F8">
        <f t="shared" ref="F8:F35" si="0">E8/$O$18</f>
        <v>39.364240219593363</v>
      </c>
      <c r="G8">
        <v>14.746</v>
      </c>
      <c r="H8" s="33">
        <f>G8/$O$34</f>
        <v>2.0053112888849558</v>
      </c>
      <c r="O8" s="41">
        <v>7981</v>
      </c>
      <c r="P8" s="119">
        <v>0.60902777777777772</v>
      </c>
      <c r="Q8" s="119">
        <v>0.61250000000000004</v>
      </c>
      <c r="R8" s="120">
        <v>0.71111111111111114</v>
      </c>
      <c r="S8" s="28"/>
      <c r="AC8" s="85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86"/>
      <c r="AW8" s="95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2"/>
      <c r="BO8" s="122"/>
      <c r="BP8" s="96"/>
    </row>
    <row r="9" spans="1:68" x14ac:dyDescent="0.3">
      <c r="A9" s="32" t="s">
        <v>157</v>
      </c>
      <c r="B9" s="2">
        <v>45635.620138888888</v>
      </c>
      <c r="C9" s="12">
        <v>0</v>
      </c>
      <c r="D9">
        <v>795</v>
      </c>
      <c r="E9">
        <v>21.793500000000002</v>
      </c>
      <c r="F9">
        <f t="shared" si="0"/>
        <v>20.710343751676799</v>
      </c>
      <c r="G9">
        <v>1.2889999999999999</v>
      </c>
      <c r="H9" s="33">
        <f t="shared" ref="H9:H35" si="1">G9/$O$34</f>
        <v>0.17529135028975368</v>
      </c>
      <c r="AC9" s="85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86"/>
      <c r="AW9" s="95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2"/>
      <c r="BO9" s="122"/>
      <c r="BP9" s="96"/>
    </row>
    <row r="10" spans="1:68" x14ac:dyDescent="0.3">
      <c r="A10" s="32" t="s">
        <v>158</v>
      </c>
      <c r="B10" s="2">
        <v>45635.623611111114</v>
      </c>
      <c r="C10" s="12">
        <v>0</v>
      </c>
      <c r="D10">
        <v>788</v>
      </c>
      <c r="E10">
        <v>47.670999999999999</v>
      </c>
      <c r="F10">
        <f t="shared" si="0"/>
        <v>45.301709086938061</v>
      </c>
      <c r="G10">
        <v>0.65949999999999998</v>
      </c>
      <c r="H10" s="33">
        <f t="shared" si="1"/>
        <v>8.968552794111137E-2</v>
      </c>
      <c r="AC10" s="85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86"/>
      <c r="AW10" s="95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2"/>
      <c r="BO10" s="122"/>
      <c r="BP10" s="96"/>
    </row>
    <row r="11" spans="1:68" ht="15" thickBot="1" x14ac:dyDescent="0.35">
      <c r="A11" s="32" t="s">
        <v>159</v>
      </c>
      <c r="B11" s="2">
        <v>45635.627083333333</v>
      </c>
      <c r="C11" s="12">
        <v>0</v>
      </c>
      <c r="D11">
        <v>809</v>
      </c>
      <c r="E11">
        <v>45.837000000000003</v>
      </c>
      <c r="F11">
        <f t="shared" si="0"/>
        <v>43.558860510960123</v>
      </c>
      <c r="G11">
        <v>0.53300000000000003</v>
      </c>
      <c r="H11" s="33">
        <f t="shared" si="1"/>
        <v>7.248276935953353E-2</v>
      </c>
      <c r="N11" t="s">
        <v>268</v>
      </c>
      <c r="AC11" s="85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86"/>
      <c r="AW11" s="95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2"/>
      <c r="BO11" s="122"/>
      <c r="BP11" s="96"/>
    </row>
    <row r="12" spans="1:68" x14ac:dyDescent="0.3">
      <c r="A12" s="32" t="s">
        <v>160</v>
      </c>
      <c r="B12" s="2">
        <v>45635.629861111112</v>
      </c>
      <c r="C12" s="12">
        <v>0</v>
      </c>
      <c r="D12">
        <v>710</v>
      </c>
      <c r="E12">
        <v>42.531999999999996</v>
      </c>
      <c r="F12">
        <f t="shared" si="0"/>
        <v>40.418121937564756</v>
      </c>
      <c r="G12">
        <v>0</v>
      </c>
      <c r="H12" s="33">
        <f t="shared" si="1"/>
        <v>0</v>
      </c>
      <c r="N12" s="29" t="s">
        <v>263</v>
      </c>
      <c r="O12" s="30" t="s">
        <v>285</v>
      </c>
      <c r="P12" s="30" t="s">
        <v>270</v>
      </c>
      <c r="Q12" s="30" t="s">
        <v>271</v>
      </c>
      <c r="R12" s="30" t="s">
        <v>272</v>
      </c>
      <c r="S12" s="30" t="s">
        <v>273</v>
      </c>
      <c r="T12" s="31" t="s">
        <v>274</v>
      </c>
      <c r="AC12" s="85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86"/>
      <c r="AW12" s="95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2"/>
      <c r="BO12" s="122"/>
      <c r="BP12" s="96"/>
    </row>
    <row r="13" spans="1:68" x14ac:dyDescent="0.3">
      <c r="A13" s="32" t="s">
        <v>161</v>
      </c>
      <c r="B13" s="2">
        <v>45635.708333333336</v>
      </c>
      <c r="C13" s="12">
        <v>0</v>
      </c>
      <c r="D13">
        <v>854</v>
      </c>
      <c r="E13">
        <v>26.963000000000001</v>
      </c>
      <c r="F13">
        <f t="shared" si="0"/>
        <v>25.622915024042101</v>
      </c>
      <c r="G13">
        <v>0</v>
      </c>
      <c r="H13" s="33">
        <f t="shared" si="1"/>
        <v>0</v>
      </c>
      <c r="N13" s="32">
        <v>0</v>
      </c>
      <c r="O13">
        <v>0</v>
      </c>
      <c r="T13" s="33"/>
      <c r="AC13" s="85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86"/>
      <c r="AW13" s="95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2"/>
      <c r="BO13" s="122"/>
      <c r="BP13" s="96"/>
    </row>
    <row r="14" spans="1:68" x14ac:dyDescent="0.3">
      <c r="A14" s="32" t="s">
        <v>162</v>
      </c>
      <c r="B14" s="2">
        <v>45635.633333333331</v>
      </c>
      <c r="C14" s="12">
        <v>0</v>
      </c>
      <c r="D14">
        <v>762</v>
      </c>
      <c r="E14">
        <v>18.401</v>
      </c>
      <c r="F14">
        <f t="shared" si="0"/>
        <v>17.486454005763402</v>
      </c>
      <c r="G14">
        <v>0</v>
      </c>
      <c r="H14" s="33">
        <f t="shared" si="1"/>
        <v>0</v>
      </c>
      <c r="N14" s="32">
        <v>895</v>
      </c>
      <c r="O14">
        <f>AVERAGE(P14:T14)</f>
        <v>823.84799999999996</v>
      </c>
      <c r="P14">
        <v>835.37800000000004</v>
      </c>
      <c r="Q14">
        <v>825.15899999999999</v>
      </c>
      <c r="R14">
        <v>811.00699999999995</v>
      </c>
      <c r="T14" s="33"/>
      <c r="AC14" s="85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86"/>
      <c r="AW14" s="95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2"/>
      <c r="BO14" s="122"/>
      <c r="BP14" s="96"/>
    </row>
    <row r="15" spans="1:68" x14ac:dyDescent="0.3">
      <c r="A15" s="32" t="s">
        <v>163</v>
      </c>
      <c r="B15" s="2">
        <v>45635.636111111111</v>
      </c>
      <c r="C15" s="12">
        <v>0</v>
      </c>
      <c r="D15">
        <v>765</v>
      </c>
      <c r="E15">
        <v>21.015000000000001</v>
      </c>
      <c r="F15">
        <f t="shared" si="0"/>
        <v>19.970535891044939</v>
      </c>
      <c r="G15">
        <v>0.65200000000000002</v>
      </c>
      <c r="H15" s="33">
        <f t="shared" si="1"/>
        <v>8.8665601542994119E-2</v>
      </c>
      <c r="N15" s="32">
        <v>3000</v>
      </c>
      <c r="O15">
        <f>AVERAGE(P15:T15)</f>
        <v>3064.5768333333331</v>
      </c>
      <c r="P15">
        <v>2970.8209999999999</v>
      </c>
      <c r="Q15">
        <v>3139.7069999999999</v>
      </c>
      <c r="R15">
        <v>3083.2024999999999</v>
      </c>
      <c r="T15" s="33"/>
      <c r="AC15" s="85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86"/>
      <c r="AW15" s="95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2"/>
      <c r="BO15" s="122"/>
      <c r="BP15" s="96"/>
    </row>
    <row r="16" spans="1:68" x14ac:dyDescent="0.3">
      <c r="A16" s="32" t="s">
        <v>164</v>
      </c>
      <c r="B16" s="2">
        <v>45635.63958333333</v>
      </c>
      <c r="C16" s="12">
        <v>0</v>
      </c>
      <c r="D16">
        <v>766</v>
      </c>
      <c r="E16">
        <v>22.67</v>
      </c>
      <c r="F16">
        <f t="shared" si="0"/>
        <v>21.543280925528851</v>
      </c>
      <c r="G16">
        <v>0</v>
      </c>
      <c r="H16" s="33">
        <f t="shared" si="1"/>
        <v>0</v>
      </c>
      <c r="N16" s="32">
        <v>7981</v>
      </c>
      <c r="O16">
        <f>AVERAGE(P16:T16)</f>
        <v>8446.3405000000002</v>
      </c>
      <c r="P16">
        <v>8423.0314999999991</v>
      </c>
      <c r="Q16">
        <v>8515.152</v>
      </c>
      <c r="R16">
        <v>8400.8379999999997</v>
      </c>
      <c r="T16" s="33"/>
      <c r="AC16" s="85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86"/>
      <c r="AW16" s="95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2"/>
      <c r="BO16" s="122"/>
      <c r="BP16" s="96"/>
    </row>
    <row r="17" spans="1:68" ht="15" thickBot="1" x14ac:dyDescent="0.35">
      <c r="A17" s="32" t="s">
        <v>165</v>
      </c>
      <c r="B17" s="2">
        <v>45635.642361111109</v>
      </c>
      <c r="C17" s="12">
        <v>0</v>
      </c>
      <c r="D17">
        <v>763</v>
      </c>
      <c r="E17">
        <v>64.697999999999993</v>
      </c>
      <c r="F17">
        <f t="shared" si="0"/>
        <v>61.48245210938974</v>
      </c>
      <c r="G17">
        <v>0</v>
      </c>
      <c r="H17" s="33">
        <f t="shared" si="1"/>
        <v>0</v>
      </c>
      <c r="N17" s="32"/>
      <c r="T17" s="33"/>
      <c r="AC17" s="85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86"/>
      <c r="AW17" s="95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2"/>
      <c r="BO17" s="122"/>
      <c r="BP17" s="96"/>
    </row>
    <row r="18" spans="1:68" ht="15" thickBot="1" x14ac:dyDescent="0.35">
      <c r="A18" s="32" t="s">
        <v>166</v>
      </c>
      <c r="B18" s="2">
        <v>45635.648611111108</v>
      </c>
      <c r="C18" s="12">
        <v>0</v>
      </c>
      <c r="D18">
        <v>806</v>
      </c>
      <c r="E18">
        <v>24.1145</v>
      </c>
      <c r="F18">
        <f t="shared" si="0"/>
        <v>22.915987996412237</v>
      </c>
      <c r="G18">
        <v>0</v>
      </c>
      <c r="H18" s="33">
        <f t="shared" si="1"/>
        <v>0</v>
      </c>
      <c r="N18" s="34" t="s">
        <v>275</v>
      </c>
      <c r="O18" s="35" cm="1">
        <f t="array" ref="O18:P18">LINEST(O13:O16,N13:N16,FALSE,FALSE)</f>
        <v>1.0523002544675535</v>
      </c>
      <c r="P18" s="36">
        <v>0</v>
      </c>
      <c r="Q18" s="36"/>
      <c r="R18" s="36"/>
      <c r="S18" s="36"/>
      <c r="T18" s="37"/>
      <c r="AC18" s="85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86"/>
      <c r="AW18" s="95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2"/>
      <c r="BO18" s="122"/>
      <c r="BP18" s="96"/>
    </row>
    <row r="19" spans="1:68" x14ac:dyDescent="0.3">
      <c r="A19" s="32" t="s">
        <v>167</v>
      </c>
      <c r="B19" s="2">
        <v>45635.651388888888</v>
      </c>
      <c r="C19" s="12">
        <v>0</v>
      </c>
      <c r="D19">
        <v>813</v>
      </c>
      <c r="E19">
        <v>30.491499999999998</v>
      </c>
      <c r="F19">
        <f t="shared" si="0"/>
        <v>28.976045449526374</v>
      </c>
      <c r="G19">
        <v>0</v>
      </c>
      <c r="H19" s="33">
        <f t="shared" si="1"/>
        <v>0</v>
      </c>
      <c r="AC19" s="85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86"/>
      <c r="AW19" s="95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96"/>
    </row>
    <row r="20" spans="1:68" ht="15" thickBot="1" x14ac:dyDescent="0.35">
      <c r="A20" s="32" t="s">
        <v>168</v>
      </c>
      <c r="B20" s="2">
        <v>45635.65625</v>
      </c>
      <c r="C20" s="12">
        <v>0</v>
      </c>
      <c r="D20">
        <v>786</v>
      </c>
      <c r="E20">
        <v>21.537500000000001</v>
      </c>
      <c r="F20">
        <f t="shared" si="0"/>
        <v>20.4670671783669</v>
      </c>
      <c r="G20">
        <v>0</v>
      </c>
      <c r="H20" s="33">
        <f t="shared" si="1"/>
        <v>0</v>
      </c>
      <c r="AC20" s="85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86"/>
      <c r="AW20" s="95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2"/>
      <c r="BO20" s="122"/>
      <c r="BP20" s="96"/>
    </row>
    <row r="21" spans="1:68" x14ac:dyDescent="0.3">
      <c r="A21" s="32" t="s">
        <v>169</v>
      </c>
      <c r="B21" s="2">
        <v>45635.659722222219</v>
      </c>
      <c r="C21" s="12">
        <v>0</v>
      </c>
      <c r="D21">
        <v>819</v>
      </c>
      <c r="E21">
        <v>29.404499999999999</v>
      </c>
      <c r="F21">
        <f t="shared" si="0"/>
        <v>27.9430703120738</v>
      </c>
      <c r="G21">
        <v>0</v>
      </c>
      <c r="H21" s="33">
        <f t="shared" si="1"/>
        <v>0</v>
      </c>
      <c r="O21" s="29" t="s">
        <v>301</v>
      </c>
      <c r="P21" s="30" t="s">
        <v>264</v>
      </c>
      <c r="Q21" s="30"/>
      <c r="R21" s="31"/>
      <c r="AC21" s="85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86"/>
      <c r="AW21" s="95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2"/>
      <c r="BO21" s="122"/>
      <c r="BP21" s="96"/>
    </row>
    <row r="22" spans="1:68" x14ac:dyDescent="0.3">
      <c r="A22" s="32" t="s">
        <v>170</v>
      </c>
      <c r="B22" s="2">
        <v>45635.662499999999</v>
      </c>
      <c r="C22" s="12">
        <v>0</v>
      </c>
      <c r="D22">
        <v>800</v>
      </c>
      <c r="E22">
        <v>34.908999999999999</v>
      </c>
      <c r="F22">
        <f t="shared" si="0"/>
        <v>33.173991787793852</v>
      </c>
      <c r="G22">
        <v>0</v>
      </c>
      <c r="H22" s="33">
        <f t="shared" si="1"/>
        <v>0</v>
      </c>
      <c r="O22" s="32">
        <v>2</v>
      </c>
      <c r="P22" s="28">
        <v>0.58750000000000002</v>
      </c>
      <c r="Q22" s="28">
        <v>0.59861111111111109</v>
      </c>
      <c r="R22" s="117">
        <v>0.64513888888888893</v>
      </c>
      <c r="S22" s="28"/>
      <c r="AC22" s="85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86"/>
      <c r="AW22" s="95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2"/>
      <c r="BO22" s="122"/>
      <c r="BP22" s="96"/>
    </row>
    <row r="23" spans="1:68" x14ac:dyDescent="0.3">
      <c r="A23" s="32" t="s">
        <v>171</v>
      </c>
      <c r="B23" s="2">
        <v>45635.665972222225</v>
      </c>
      <c r="C23" s="12">
        <v>0</v>
      </c>
      <c r="D23">
        <v>787</v>
      </c>
      <c r="E23">
        <v>31.693999999999999</v>
      </c>
      <c r="F23">
        <f t="shared" si="0"/>
        <v>30.11878013470275</v>
      </c>
      <c r="G23">
        <v>0</v>
      </c>
      <c r="H23" s="33">
        <f t="shared" si="1"/>
        <v>0</v>
      </c>
      <c r="O23" s="32">
        <v>30</v>
      </c>
      <c r="P23" s="28">
        <v>0.6020833333333333</v>
      </c>
      <c r="Q23" s="28">
        <v>0.60555555555555551</v>
      </c>
      <c r="R23" s="117">
        <v>0.68055555555555558</v>
      </c>
      <c r="S23" s="28"/>
      <c r="AC23" s="85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86"/>
      <c r="AW23" s="95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2"/>
      <c r="BO23" s="122"/>
      <c r="BP23" s="96"/>
    </row>
    <row r="24" spans="1:68" ht="15" thickBot="1" x14ac:dyDescent="0.35">
      <c r="A24" s="32" t="s">
        <v>172</v>
      </c>
      <c r="B24" s="2">
        <v>45635.668749999997</v>
      </c>
      <c r="C24" s="12">
        <v>0</v>
      </c>
      <c r="D24">
        <v>784</v>
      </c>
      <c r="E24">
        <v>21.32</v>
      </c>
      <c r="F24">
        <f t="shared" si="0"/>
        <v>20.260377120964936</v>
      </c>
      <c r="G24">
        <v>0</v>
      </c>
      <c r="H24" s="33">
        <f t="shared" si="1"/>
        <v>0</v>
      </c>
      <c r="O24" s="41">
        <v>1000</v>
      </c>
      <c r="P24" s="119">
        <v>0.60902777777777772</v>
      </c>
      <c r="Q24" s="119">
        <v>0.61250000000000004</v>
      </c>
      <c r="R24" s="120">
        <v>0.71111111111111114</v>
      </c>
      <c r="S24" s="28"/>
      <c r="AC24" s="85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86"/>
      <c r="AW24" s="95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2"/>
      <c r="BO24" s="122"/>
      <c r="BP24" s="96"/>
    </row>
    <row r="25" spans="1:68" x14ac:dyDescent="0.3">
      <c r="A25" s="32" t="s">
        <v>173</v>
      </c>
      <c r="B25" s="2">
        <v>45635.671527777777</v>
      </c>
      <c r="C25" s="12">
        <v>0</v>
      </c>
      <c r="D25">
        <v>780</v>
      </c>
      <c r="E25">
        <v>30.620999999999999</v>
      </c>
      <c r="F25">
        <f t="shared" si="0"/>
        <v>29.099109184853059</v>
      </c>
      <c r="G25">
        <v>0</v>
      </c>
      <c r="H25" s="33">
        <f t="shared" si="1"/>
        <v>0</v>
      </c>
      <c r="AC25" s="85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86"/>
      <c r="AW25" s="95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2"/>
      <c r="BO25" s="122"/>
      <c r="BP25" s="96"/>
    </row>
    <row r="26" spans="1:68" x14ac:dyDescent="0.3">
      <c r="A26" s="32" t="s">
        <v>174</v>
      </c>
      <c r="B26" s="2">
        <v>45635.674305555556</v>
      </c>
      <c r="C26" s="12">
        <v>0</v>
      </c>
      <c r="D26">
        <v>806</v>
      </c>
      <c r="E26">
        <v>30.896000000000001</v>
      </c>
      <c r="F26">
        <f t="shared" si="0"/>
        <v>29.360441441338306</v>
      </c>
      <c r="G26">
        <v>0</v>
      </c>
      <c r="H26" s="33">
        <f t="shared" si="1"/>
        <v>0</v>
      </c>
      <c r="AC26" s="85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86"/>
      <c r="AW26" s="95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2"/>
      <c r="BO26" s="122"/>
      <c r="BP26" s="96"/>
    </row>
    <row r="27" spans="1:68" ht="15" thickBot="1" x14ac:dyDescent="0.35">
      <c r="A27" s="32" t="s">
        <v>175</v>
      </c>
      <c r="B27" s="2">
        <v>45635.677777777775</v>
      </c>
      <c r="C27" s="12">
        <v>0</v>
      </c>
      <c r="D27">
        <v>792</v>
      </c>
      <c r="E27">
        <v>29.472999999999999</v>
      </c>
      <c r="F27">
        <f t="shared" si="0"/>
        <v>28.008165801416489</v>
      </c>
      <c r="G27">
        <v>0</v>
      </c>
      <c r="H27" s="33">
        <f t="shared" si="1"/>
        <v>0</v>
      </c>
      <c r="N27" t="s">
        <v>303</v>
      </c>
      <c r="AC27" s="85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86"/>
      <c r="AW27" s="95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2"/>
      <c r="BO27" s="122"/>
      <c r="BP27" s="96"/>
    </row>
    <row r="28" spans="1:68" x14ac:dyDescent="0.3">
      <c r="A28" s="32" t="s">
        <v>176</v>
      </c>
      <c r="B28" s="2">
        <v>45635.68472222222</v>
      </c>
      <c r="C28" s="12">
        <v>0</v>
      </c>
      <c r="D28">
        <v>790</v>
      </c>
      <c r="E28">
        <v>28.044</v>
      </c>
      <c r="F28" s="43">
        <f t="shared" si="0"/>
        <v>26.650188366807722</v>
      </c>
      <c r="G28" s="43">
        <v>1.0309999999999999</v>
      </c>
      <c r="H28" s="33">
        <f t="shared" si="1"/>
        <v>0.14020588219451982</v>
      </c>
      <c r="N28" s="29" t="s">
        <v>301</v>
      </c>
      <c r="O28" s="30" t="s">
        <v>269</v>
      </c>
      <c r="P28" s="30" t="s">
        <v>270</v>
      </c>
      <c r="Q28" s="30" t="s">
        <v>271</v>
      </c>
      <c r="R28" s="30" t="s">
        <v>272</v>
      </c>
      <c r="S28" s="30" t="s">
        <v>273</v>
      </c>
      <c r="T28" s="31" t="s">
        <v>274</v>
      </c>
      <c r="AC28" s="85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86"/>
      <c r="AW28" s="95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2"/>
      <c r="BO28" s="122"/>
      <c r="BP28" s="96"/>
    </row>
    <row r="29" spans="1:68" x14ac:dyDescent="0.3">
      <c r="A29" s="32" t="s">
        <v>177</v>
      </c>
      <c r="B29" s="2">
        <v>45635.688194444447</v>
      </c>
      <c r="C29" s="12">
        <v>0</v>
      </c>
      <c r="D29">
        <v>802</v>
      </c>
      <c r="E29">
        <v>29.298999999999999</v>
      </c>
      <c r="F29">
        <f t="shared" si="0"/>
        <v>27.842813755494916</v>
      </c>
      <c r="G29">
        <v>0.58799999999999997</v>
      </c>
      <c r="H29" s="33">
        <f t="shared" si="1"/>
        <v>7.9962229612393465E-2</v>
      </c>
      <c r="N29" s="32">
        <v>0</v>
      </c>
      <c r="O29">
        <v>0</v>
      </c>
      <c r="P29">
        <v>0</v>
      </c>
      <c r="Q29">
        <v>0</v>
      </c>
      <c r="T29" s="33"/>
      <c r="AC29" s="85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86"/>
      <c r="AW29" s="95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2"/>
      <c r="BO29" s="122"/>
      <c r="BP29" s="96"/>
    </row>
    <row r="30" spans="1:68" x14ac:dyDescent="0.3">
      <c r="A30" s="32" t="s">
        <v>178</v>
      </c>
      <c r="B30" s="2">
        <v>45635.690972222219</v>
      </c>
      <c r="C30" s="12">
        <v>0</v>
      </c>
      <c r="D30">
        <v>794</v>
      </c>
      <c r="E30">
        <v>26.314</v>
      </c>
      <c r="F30">
        <f t="shared" si="0"/>
        <v>25.006170898736929</v>
      </c>
      <c r="G30">
        <v>0</v>
      </c>
      <c r="H30" s="33">
        <f t="shared" si="1"/>
        <v>0</v>
      </c>
      <c r="N30" s="32">
        <v>2</v>
      </c>
      <c r="O30">
        <f>AVERAGE(P30:T30)</f>
        <v>14.978500000000002</v>
      </c>
      <c r="P30">
        <v>14.817</v>
      </c>
      <c r="Q30">
        <v>15.082000000000001</v>
      </c>
      <c r="R30">
        <v>15.0365</v>
      </c>
      <c r="T30" s="33"/>
      <c r="AC30" s="85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86"/>
      <c r="AW30" s="95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2"/>
      <c r="BO30" s="122"/>
      <c r="BP30" s="96"/>
    </row>
    <row r="31" spans="1:68" x14ac:dyDescent="0.3">
      <c r="A31" s="32" t="s">
        <v>179</v>
      </c>
      <c r="B31" s="2">
        <v>45635.693749999999</v>
      </c>
      <c r="C31" s="12">
        <v>0</v>
      </c>
      <c r="D31">
        <v>794</v>
      </c>
      <c r="E31">
        <v>20.420000000000002</v>
      </c>
      <c r="F31">
        <f t="shared" si="0"/>
        <v>19.405107917922326</v>
      </c>
      <c r="G31">
        <v>0.54949999999999999</v>
      </c>
      <c r="H31" s="33">
        <f t="shared" si="1"/>
        <v>7.4726607435391515E-2</v>
      </c>
      <c r="N31" s="32">
        <v>30</v>
      </c>
      <c r="O31">
        <f>AVERAGE(P31:T31)</f>
        <v>216.71249999999998</v>
      </c>
      <c r="P31">
        <v>217.8595</v>
      </c>
      <c r="Q31">
        <v>217.02699999999999</v>
      </c>
      <c r="R31">
        <v>215.251</v>
      </c>
      <c r="T31" s="33"/>
      <c r="AC31" s="85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6"/>
      <c r="AQ31" s="116"/>
      <c r="AR31" s="116"/>
      <c r="AS31" s="116"/>
      <c r="AT31" s="116"/>
      <c r="AU31" s="86"/>
      <c r="AW31" s="95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2"/>
      <c r="BO31" s="122"/>
      <c r="BP31" s="96"/>
    </row>
    <row r="32" spans="1:68" x14ac:dyDescent="0.3">
      <c r="A32" s="32" t="s">
        <v>180</v>
      </c>
      <c r="B32" s="2">
        <v>45635.696527777778</v>
      </c>
      <c r="C32" s="12">
        <v>0</v>
      </c>
      <c r="D32">
        <v>807</v>
      </c>
      <c r="E32">
        <v>19.308</v>
      </c>
      <c r="F32">
        <f t="shared" si="0"/>
        <v>18.348375302607455</v>
      </c>
      <c r="G32">
        <v>0.54800000000000004</v>
      </c>
      <c r="H32" s="33">
        <f t="shared" si="1"/>
        <v>7.4522622155768062E-2</v>
      </c>
      <c r="N32" s="32">
        <v>1000</v>
      </c>
      <c r="O32">
        <f>AVERAGE(P32:T32)</f>
        <v>7353.5879999999997</v>
      </c>
      <c r="P32">
        <v>7324.8019999999997</v>
      </c>
      <c r="Q32">
        <v>7331.4650000000001</v>
      </c>
      <c r="R32">
        <v>7404.4970000000003</v>
      </c>
      <c r="T32" s="33"/>
      <c r="AC32" s="85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6"/>
      <c r="AQ32" s="116"/>
      <c r="AR32" s="116"/>
      <c r="AS32" s="116"/>
      <c r="AT32" s="116"/>
      <c r="AU32" s="86"/>
      <c r="AW32" s="95"/>
      <c r="AX32" s="122"/>
      <c r="AY32" s="122"/>
      <c r="AZ32" s="122"/>
      <c r="BA32" s="122"/>
      <c r="BB32" s="122"/>
      <c r="BC32" s="122"/>
      <c r="BD32" s="122"/>
      <c r="BE32" s="122"/>
      <c r="BF32" s="122"/>
      <c r="BG32" s="122"/>
      <c r="BH32" s="122"/>
      <c r="BI32" s="122"/>
      <c r="BJ32" s="122"/>
      <c r="BK32" s="122"/>
      <c r="BL32" s="122"/>
      <c r="BM32" s="122"/>
      <c r="BN32" s="122"/>
      <c r="BO32" s="122"/>
      <c r="BP32" s="96"/>
    </row>
    <row r="33" spans="1:68" ht="15" thickBot="1" x14ac:dyDescent="0.35">
      <c r="A33" s="32" t="s">
        <v>181</v>
      </c>
      <c r="B33" s="2">
        <v>45635.699305555558</v>
      </c>
      <c r="C33" s="12">
        <v>0</v>
      </c>
      <c r="D33">
        <v>774</v>
      </c>
      <c r="E33">
        <v>23.5595</v>
      </c>
      <c r="F33">
        <f t="shared" si="0"/>
        <v>22.388571987869295</v>
      </c>
      <c r="G33">
        <v>0</v>
      </c>
      <c r="H33" s="33">
        <f t="shared" si="1"/>
        <v>0</v>
      </c>
      <c r="N33" s="32"/>
      <c r="T33" s="33"/>
      <c r="AC33" s="85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6"/>
      <c r="AQ33" s="116"/>
      <c r="AR33" s="116"/>
      <c r="AS33" s="116"/>
      <c r="AT33" s="116"/>
      <c r="AU33" s="86"/>
      <c r="AW33" s="95"/>
      <c r="AX33" s="122"/>
      <c r="AY33" s="122"/>
      <c r="AZ33" s="122"/>
      <c r="BA33" s="122"/>
      <c r="BB33" s="122"/>
      <c r="BC33" s="122"/>
      <c r="BD33" s="122"/>
      <c r="BE33" s="122"/>
      <c r="BF33" s="122"/>
      <c r="BG33" s="122"/>
      <c r="BH33" s="122"/>
      <c r="BI33" s="122"/>
      <c r="BJ33" s="122"/>
      <c r="BK33" s="122"/>
      <c r="BL33" s="122"/>
      <c r="BM33" s="122"/>
      <c r="BN33" s="122"/>
      <c r="BO33" s="122"/>
      <c r="BP33" s="96"/>
    </row>
    <row r="34" spans="1:68" ht="15" thickBot="1" x14ac:dyDescent="0.35">
      <c r="A34" s="32" t="s">
        <v>182</v>
      </c>
      <c r="B34" s="2">
        <v>45635.702777777777</v>
      </c>
      <c r="C34" s="12">
        <v>0</v>
      </c>
      <c r="D34">
        <v>785</v>
      </c>
      <c r="E34">
        <v>14.037000000000001</v>
      </c>
      <c r="F34">
        <f t="shared" si="0"/>
        <v>13.33934867012124</v>
      </c>
      <c r="G34">
        <v>0</v>
      </c>
      <c r="H34" s="33">
        <f t="shared" si="1"/>
        <v>0</v>
      </c>
      <c r="N34" s="34" t="s">
        <v>302</v>
      </c>
      <c r="O34" s="35" cm="1">
        <f t="array" ref="O34:P34">LINEST(O29:O32,N29:N32,FALSE,FALSE)</f>
        <v>7.3534717934986773</v>
      </c>
      <c r="P34" s="36">
        <v>0</v>
      </c>
      <c r="Q34" s="36"/>
      <c r="R34" s="36"/>
      <c r="S34" s="36"/>
      <c r="T34" s="37"/>
      <c r="AC34" s="85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6"/>
      <c r="AQ34" s="116"/>
      <c r="AR34" s="116"/>
      <c r="AS34" s="116"/>
      <c r="AT34" s="116"/>
      <c r="AU34" s="86"/>
      <c r="AW34" s="95"/>
      <c r="AX34" s="122"/>
      <c r="AY34" s="122"/>
      <c r="AZ34" s="122"/>
      <c r="BA34" s="122"/>
      <c r="BB34" s="122"/>
      <c r="BC34" s="122"/>
      <c r="BD34" s="122"/>
      <c r="BE34" s="122"/>
      <c r="BF34" s="122"/>
      <c r="BG34" s="122"/>
      <c r="BH34" s="122"/>
      <c r="BI34" s="122"/>
      <c r="BJ34" s="122"/>
      <c r="BK34" s="122"/>
      <c r="BL34" s="122"/>
      <c r="BM34" s="122"/>
      <c r="BN34" s="122"/>
      <c r="BO34" s="122"/>
      <c r="BP34" s="96"/>
    </row>
    <row r="35" spans="1:68" ht="15" thickBot="1" x14ac:dyDescent="0.35">
      <c r="A35" s="41" t="s">
        <v>183</v>
      </c>
      <c r="B35" s="121">
        <v>45635.705555555556</v>
      </c>
      <c r="C35" s="56">
        <v>0</v>
      </c>
      <c r="D35" s="36">
        <v>790</v>
      </c>
      <c r="E35" s="36">
        <v>18.042000000000002</v>
      </c>
      <c r="F35" s="36">
        <f t="shared" si="0"/>
        <v>17.145296623660855</v>
      </c>
      <c r="G35" s="36">
        <v>0</v>
      </c>
      <c r="H35" s="37">
        <f t="shared" si="1"/>
        <v>0</v>
      </c>
      <c r="AC35" s="85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6"/>
      <c r="AQ35" s="116"/>
      <c r="AR35" s="116"/>
      <c r="AS35" s="116"/>
      <c r="AT35" s="116"/>
      <c r="AU35" s="86"/>
      <c r="AW35" s="95"/>
      <c r="AX35" s="122"/>
      <c r="AY35" s="122"/>
      <c r="AZ35" s="122"/>
      <c r="BA35" s="122"/>
      <c r="BB35" s="122"/>
      <c r="BC35" s="122"/>
      <c r="BD35" s="122"/>
      <c r="BE35" s="122"/>
      <c r="BF35" s="122"/>
      <c r="BG35" s="122"/>
      <c r="BH35" s="122"/>
      <c r="BI35" s="122"/>
      <c r="BJ35" s="122"/>
      <c r="BK35" s="122"/>
      <c r="BL35" s="122"/>
      <c r="BM35" s="122"/>
      <c r="BN35" s="122"/>
      <c r="BO35" s="122"/>
      <c r="BP35" s="96"/>
    </row>
    <row r="36" spans="1:68" x14ac:dyDescent="0.3">
      <c r="AC36" s="85"/>
      <c r="AD36" s="116"/>
      <c r="AE36" s="116"/>
      <c r="AF36" s="116"/>
      <c r="AG36" s="116"/>
      <c r="AH36" s="116"/>
      <c r="AI36" s="116"/>
      <c r="AJ36" s="116"/>
      <c r="AK36" s="116"/>
      <c r="AL36" s="116"/>
      <c r="AM36" s="116"/>
      <c r="AN36" s="116"/>
      <c r="AO36" s="116"/>
      <c r="AP36" s="116"/>
      <c r="AQ36" s="116"/>
      <c r="AR36" s="116"/>
      <c r="AS36" s="116"/>
      <c r="AT36" s="116"/>
      <c r="AU36" s="86"/>
      <c r="AW36" s="95"/>
      <c r="AX36" s="122"/>
      <c r="AY36" s="122"/>
      <c r="AZ36" s="122"/>
      <c r="BA36" s="122"/>
      <c r="BB36" s="122"/>
      <c r="BC36" s="122"/>
      <c r="BD36" s="122"/>
      <c r="BE36" s="122"/>
      <c r="BF36" s="122"/>
      <c r="BG36" s="122"/>
      <c r="BH36" s="122"/>
      <c r="BI36" s="122"/>
      <c r="BJ36" s="122"/>
      <c r="BK36" s="122"/>
      <c r="BL36" s="122"/>
      <c r="BM36" s="122"/>
      <c r="BN36" s="122"/>
      <c r="BO36" s="122"/>
      <c r="BP36" s="96"/>
    </row>
    <row r="37" spans="1:68" x14ac:dyDescent="0.3">
      <c r="AC37" s="85"/>
      <c r="AD37" s="116"/>
      <c r="AE37" s="116"/>
      <c r="AF37" s="116"/>
      <c r="AG37" s="116"/>
      <c r="AH37" s="116"/>
      <c r="AI37" s="116"/>
      <c r="AJ37" s="116"/>
      <c r="AK37" s="116"/>
      <c r="AL37" s="116"/>
      <c r="AM37" s="116"/>
      <c r="AN37" s="116"/>
      <c r="AO37" s="116"/>
      <c r="AP37" s="116"/>
      <c r="AQ37" s="116"/>
      <c r="AR37" s="116"/>
      <c r="AS37" s="116"/>
      <c r="AT37" s="116"/>
      <c r="AU37" s="86"/>
      <c r="AW37" s="95"/>
      <c r="AX37" s="122"/>
      <c r="AY37" s="122"/>
      <c r="AZ37" s="122"/>
      <c r="BA37" s="122"/>
      <c r="BB37" s="122"/>
      <c r="BC37" s="122"/>
      <c r="BD37" s="122"/>
      <c r="BE37" s="122"/>
      <c r="BF37" s="122"/>
      <c r="BG37" s="122"/>
      <c r="BH37" s="122"/>
      <c r="BI37" s="122"/>
      <c r="BJ37" s="122"/>
      <c r="BK37" s="122"/>
      <c r="BL37" s="122"/>
      <c r="BM37" s="122"/>
      <c r="BN37" s="122"/>
      <c r="BO37" s="122"/>
      <c r="BP37" s="96"/>
    </row>
    <row r="38" spans="1:68" ht="15" thickBot="1" x14ac:dyDescent="0.35">
      <c r="AC38" s="85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86"/>
      <c r="AW38" s="95"/>
      <c r="AX38" s="122"/>
      <c r="AY38" s="122"/>
      <c r="AZ38" s="122"/>
      <c r="BA38" s="122"/>
      <c r="BB38" s="122"/>
      <c r="BC38" s="122"/>
      <c r="BD38" s="122"/>
      <c r="BE38" s="122"/>
      <c r="BF38" s="122"/>
      <c r="BG38" s="122"/>
      <c r="BH38" s="122"/>
      <c r="BI38" s="122"/>
      <c r="BJ38" s="122"/>
      <c r="BK38" s="122"/>
      <c r="BL38" s="122"/>
      <c r="BM38" s="122"/>
      <c r="BN38" s="122"/>
      <c r="BO38" s="122"/>
      <c r="BP38" s="96"/>
    </row>
    <row r="39" spans="1:68" x14ac:dyDescent="0.3">
      <c r="N39" s="29" t="s">
        <v>276</v>
      </c>
      <c r="O39" s="39">
        <v>22</v>
      </c>
      <c r="AC39" s="85"/>
      <c r="AD39" s="116"/>
      <c r="AE39" s="116"/>
      <c r="AF39" s="116"/>
      <c r="AG39" s="116"/>
      <c r="AH39" s="116"/>
      <c r="AI39" s="116"/>
      <c r="AJ39" s="116"/>
      <c r="AK39" s="116"/>
      <c r="AL39" s="116"/>
      <c r="AM39" s="116"/>
      <c r="AN39" s="116"/>
      <c r="AO39" s="116"/>
      <c r="AP39" s="116"/>
      <c r="AQ39" s="116"/>
      <c r="AR39" s="116"/>
      <c r="AS39" s="116"/>
      <c r="AT39" s="116"/>
      <c r="AU39" s="86"/>
      <c r="AW39" s="95"/>
      <c r="AX39" s="122"/>
      <c r="AY39" s="122"/>
      <c r="AZ39" s="122"/>
      <c r="BA39" s="122"/>
      <c r="BB39" s="122"/>
      <c r="BC39" s="122"/>
      <c r="BD39" s="122"/>
      <c r="BE39" s="122"/>
      <c r="BF39" s="122"/>
      <c r="BG39" s="122"/>
      <c r="BH39" s="122"/>
      <c r="BI39" s="122"/>
      <c r="BJ39" s="122"/>
      <c r="BK39" s="122"/>
      <c r="BL39" s="122"/>
      <c r="BM39" s="122"/>
      <c r="BN39" s="122"/>
      <c r="BO39" s="122"/>
      <c r="BP39" s="96"/>
    </row>
    <row r="40" spans="1:68" x14ac:dyDescent="0.3">
      <c r="N40" s="32" t="s">
        <v>277</v>
      </c>
      <c r="O40" s="40">
        <v>978</v>
      </c>
      <c r="AC40" s="85"/>
      <c r="AD40" s="116"/>
      <c r="AE40" s="116"/>
      <c r="AF40" s="116"/>
      <c r="AG40" s="116"/>
      <c r="AH40" s="116"/>
      <c r="AI40" s="116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86"/>
      <c r="AW40" s="95"/>
      <c r="AX40" s="122"/>
      <c r="AY40" s="122"/>
      <c r="AZ40" s="122"/>
      <c r="BA40" s="122"/>
      <c r="BB40" s="122"/>
      <c r="BC40" s="122"/>
      <c r="BD40" s="122"/>
      <c r="BE40" s="122"/>
      <c r="BF40" s="122"/>
      <c r="BG40" s="122"/>
      <c r="BH40" s="122"/>
      <c r="BI40" s="122"/>
      <c r="BJ40" s="122"/>
      <c r="BK40" s="122"/>
      <c r="BL40" s="122"/>
      <c r="BM40" s="122"/>
      <c r="BN40" s="122"/>
      <c r="BO40" s="122"/>
      <c r="BP40" s="96"/>
    </row>
    <row r="41" spans="1:68" ht="15" thickBot="1" x14ac:dyDescent="0.35">
      <c r="N41" s="41" t="s">
        <v>278</v>
      </c>
      <c r="O41" s="42">
        <v>40.799999999999997</v>
      </c>
      <c r="AC41" s="85"/>
      <c r="AD41" s="116"/>
      <c r="AE41" s="116"/>
      <c r="AF41" s="116"/>
      <c r="AG41" s="116"/>
      <c r="AH41" s="116"/>
      <c r="AI41" s="116"/>
      <c r="AJ41" s="116"/>
      <c r="AK41" s="116"/>
      <c r="AL41" s="116"/>
      <c r="AM41" s="116"/>
      <c r="AN41" s="116"/>
      <c r="AO41" s="116"/>
      <c r="AP41" s="116"/>
      <c r="AQ41" s="116"/>
      <c r="AR41" s="116"/>
      <c r="AS41" s="116"/>
      <c r="AT41" s="116"/>
      <c r="AU41" s="86"/>
      <c r="AW41" s="95"/>
      <c r="AX41" s="122"/>
      <c r="AY41" s="122"/>
      <c r="AZ41" s="122"/>
      <c r="BA41" s="122"/>
      <c r="BB41" s="122"/>
      <c r="BC41" s="122"/>
      <c r="BD41" s="122"/>
      <c r="BE41" s="122"/>
      <c r="BF41" s="122"/>
      <c r="BG41" s="122"/>
      <c r="BH41" s="122"/>
      <c r="BI41" s="122"/>
      <c r="BJ41" s="122"/>
      <c r="BK41" s="122"/>
      <c r="BL41" s="122"/>
      <c r="BM41" s="122"/>
      <c r="BN41" s="122"/>
      <c r="BO41" s="122"/>
      <c r="BP41" s="96"/>
    </row>
    <row r="42" spans="1:68" x14ac:dyDescent="0.3">
      <c r="AC42" s="85"/>
      <c r="AD42" s="116"/>
      <c r="AE42" s="116"/>
      <c r="AF42" s="116"/>
      <c r="AG42" s="116"/>
      <c r="AH42" s="116"/>
      <c r="AI42" s="116"/>
      <c r="AJ42" s="116"/>
      <c r="AK42" s="116"/>
      <c r="AL42" s="116"/>
      <c r="AM42" s="116"/>
      <c r="AN42" s="116"/>
      <c r="AO42" s="116"/>
      <c r="AP42" s="116"/>
      <c r="AQ42" s="116"/>
      <c r="AR42" s="116"/>
      <c r="AS42" s="116"/>
      <c r="AT42" s="116"/>
      <c r="AU42" s="86"/>
      <c r="AW42" s="95"/>
      <c r="AX42" s="122"/>
      <c r="AY42" s="122"/>
      <c r="AZ42" s="122"/>
      <c r="BA42" s="122"/>
      <c r="BB42" s="122"/>
      <c r="BC42" s="122"/>
      <c r="BD42" s="122"/>
      <c r="BE42" s="122"/>
      <c r="BF42" s="122"/>
      <c r="BG42" s="122"/>
      <c r="BH42" s="122"/>
      <c r="BI42" s="122"/>
      <c r="BJ42" s="122"/>
      <c r="BK42" s="122"/>
      <c r="BL42" s="122"/>
      <c r="BM42" s="122"/>
      <c r="BN42" s="122"/>
      <c r="BO42" s="122"/>
      <c r="BP42" s="96"/>
    </row>
    <row r="43" spans="1:68" x14ac:dyDescent="0.3">
      <c r="AC43" s="85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6"/>
      <c r="AQ43" s="116"/>
      <c r="AR43" s="116"/>
      <c r="AS43" s="116"/>
      <c r="AT43" s="116"/>
      <c r="AU43" s="86"/>
      <c r="AW43" s="95"/>
      <c r="AX43" s="122"/>
      <c r="AY43" s="122"/>
      <c r="AZ43" s="122"/>
      <c r="BA43" s="122"/>
      <c r="BB43" s="122"/>
      <c r="BC43" s="122"/>
      <c r="BD43" s="122"/>
      <c r="BE43" s="122"/>
      <c r="BF43" s="122"/>
      <c r="BG43" s="122"/>
      <c r="BH43" s="122"/>
      <c r="BI43" s="122"/>
      <c r="BJ43" s="122"/>
      <c r="BK43" s="122"/>
      <c r="BL43" s="122"/>
      <c r="BM43" s="122"/>
      <c r="BN43" s="122"/>
      <c r="BO43" s="122"/>
      <c r="BP43" s="96"/>
    </row>
    <row r="44" spans="1:68" x14ac:dyDescent="0.3">
      <c r="AC44" s="85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86"/>
      <c r="AW44" s="95"/>
      <c r="AX44" s="122"/>
      <c r="AY44" s="122"/>
      <c r="AZ44" s="122"/>
      <c r="BA44" s="122"/>
      <c r="BB44" s="122"/>
      <c r="BC44" s="122"/>
      <c r="BD44" s="122"/>
      <c r="BE44" s="122"/>
      <c r="BF44" s="122"/>
      <c r="BG44" s="122"/>
      <c r="BH44" s="122"/>
      <c r="BI44" s="122"/>
      <c r="BJ44" s="122"/>
      <c r="BK44" s="122"/>
      <c r="BL44" s="122"/>
      <c r="BM44" s="122"/>
      <c r="BN44" s="122"/>
      <c r="BO44" s="122"/>
      <c r="BP44" s="96"/>
    </row>
    <row r="45" spans="1:68" x14ac:dyDescent="0.3">
      <c r="AC45" s="85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86"/>
      <c r="AW45" s="95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  <c r="BL45" s="122"/>
      <c r="BM45" s="122"/>
      <c r="BN45" s="122"/>
      <c r="BO45" s="122"/>
      <c r="BP45" s="96"/>
    </row>
    <row r="46" spans="1:68" x14ac:dyDescent="0.3">
      <c r="AC46" s="85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86"/>
      <c r="AW46" s="95"/>
      <c r="AX46" s="122"/>
      <c r="AY46" s="122"/>
      <c r="AZ46" s="122"/>
      <c r="BA46" s="122"/>
      <c r="BB46" s="122"/>
      <c r="BC46" s="122"/>
      <c r="BD46" s="122"/>
      <c r="BE46" s="122"/>
      <c r="BF46" s="122"/>
      <c r="BG46" s="122"/>
      <c r="BH46" s="122"/>
      <c r="BI46" s="122"/>
      <c r="BJ46" s="122"/>
      <c r="BK46" s="122"/>
      <c r="BL46" s="122"/>
      <c r="BM46" s="122"/>
      <c r="BN46" s="122"/>
      <c r="BO46" s="122"/>
      <c r="BP46" s="96"/>
    </row>
    <row r="47" spans="1:68" ht="15" thickBot="1" x14ac:dyDescent="0.35">
      <c r="A47" s="27" t="s">
        <v>279</v>
      </c>
      <c r="B47" s="1"/>
      <c r="C47" s="1"/>
      <c r="D47" s="1"/>
      <c r="E47" s="1"/>
      <c r="F47" s="1"/>
      <c r="AC47" s="85"/>
      <c r="AD47" s="116"/>
      <c r="AE47" s="116"/>
      <c r="AF47" s="116"/>
      <c r="AG47" s="116"/>
      <c r="AH47" s="116"/>
      <c r="AI47" s="116"/>
      <c r="AJ47" s="116"/>
      <c r="AK47" s="116"/>
      <c r="AL47" s="116"/>
      <c r="AM47" s="116"/>
      <c r="AN47" s="116"/>
      <c r="AO47" s="116"/>
      <c r="AP47" s="116"/>
      <c r="AQ47" s="116"/>
      <c r="AR47" s="116"/>
      <c r="AS47" s="116"/>
      <c r="AT47" s="116"/>
      <c r="AU47" s="86"/>
      <c r="AW47" s="95"/>
      <c r="AX47" s="122"/>
      <c r="AY47" s="122"/>
      <c r="AZ47" s="122"/>
      <c r="BA47" s="122"/>
      <c r="BB47" s="122"/>
      <c r="BC47" s="122"/>
      <c r="BD47" s="122"/>
      <c r="BE47" s="122"/>
      <c r="BF47" s="122"/>
      <c r="BG47" s="122"/>
      <c r="BH47" s="122"/>
      <c r="BI47" s="122"/>
      <c r="BJ47" s="122"/>
      <c r="BK47" s="122"/>
      <c r="BL47" s="122"/>
      <c r="BM47" s="122"/>
      <c r="BN47" s="122"/>
      <c r="BO47" s="122"/>
      <c r="BP47" s="96"/>
    </row>
    <row r="48" spans="1:68" ht="15" thickBot="1" x14ac:dyDescent="0.35">
      <c r="A48" s="50" t="s">
        <v>283</v>
      </c>
      <c r="B48" s="51" t="s">
        <v>284</v>
      </c>
      <c r="C48" s="51" t="s">
        <v>279</v>
      </c>
      <c r="D48" s="118" t="s">
        <v>312</v>
      </c>
      <c r="E48" s="51" t="s">
        <v>266</v>
      </c>
      <c r="F48" s="51" t="s">
        <v>267</v>
      </c>
      <c r="G48" s="51" t="s">
        <v>297</v>
      </c>
      <c r="H48" s="51" t="s">
        <v>299</v>
      </c>
      <c r="I48" s="51" t="s">
        <v>300</v>
      </c>
      <c r="J48" s="52" t="s">
        <v>297</v>
      </c>
      <c r="K48" s="1"/>
      <c r="L48" s="1"/>
      <c r="O48" s="29" t="s">
        <v>263</v>
      </c>
      <c r="P48" s="30" t="s">
        <v>264</v>
      </c>
      <c r="Q48" s="30"/>
      <c r="R48" s="30"/>
      <c r="S48" s="31"/>
      <c r="AC48" s="85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86"/>
      <c r="AW48" s="95"/>
      <c r="AX48" s="122"/>
      <c r="AY48" s="122"/>
      <c r="AZ48" s="122"/>
      <c r="BA48" s="122"/>
      <c r="BB48" s="122"/>
      <c r="BC48" s="122"/>
      <c r="BD48" s="122"/>
      <c r="BE48" s="122"/>
      <c r="BF48" s="122"/>
      <c r="BG48" s="122"/>
      <c r="BH48" s="122"/>
      <c r="BI48" s="122"/>
      <c r="BJ48" s="122"/>
      <c r="BK48" s="122"/>
      <c r="BL48" s="122"/>
      <c r="BM48" s="122"/>
      <c r="BN48" s="122"/>
      <c r="BO48" s="122"/>
      <c r="BP48" s="96"/>
    </row>
    <row r="49" spans="1:68" x14ac:dyDescent="0.3">
      <c r="A49" s="32" t="s">
        <v>156</v>
      </c>
      <c r="B49" s="2">
        <v>45638.375</v>
      </c>
      <c r="C49" s="12">
        <f>(B49-B8)*24</f>
        <v>66.199999999953434</v>
      </c>
      <c r="E49">
        <v>408.40699999999998</v>
      </c>
      <c r="F49">
        <f>E49/$O$61</f>
        <v>395.16581995012052</v>
      </c>
      <c r="G49">
        <f t="shared" ref="G49:G76" si="2">E49-E8</f>
        <v>366.98399999999998</v>
      </c>
      <c r="H49">
        <v>3.6059999999999999</v>
      </c>
      <c r="I49">
        <f>H49/$O$78</f>
        <v>0.49581865194681785</v>
      </c>
      <c r="J49" s="33">
        <f>I49-H8</f>
        <v>-1.5094926369381381</v>
      </c>
      <c r="O49" s="32">
        <v>895</v>
      </c>
      <c r="P49" s="28">
        <v>0.36041666666666666</v>
      </c>
      <c r="Q49" s="28">
        <v>0.36249999999999999</v>
      </c>
      <c r="R49" s="28">
        <v>0.40833333333333333</v>
      </c>
      <c r="S49" s="117"/>
      <c r="AC49" s="85"/>
      <c r="AD49" s="116"/>
      <c r="AE49" s="116"/>
      <c r="AF49" s="116"/>
      <c r="AG49" s="116"/>
      <c r="AH49" s="116"/>
      <c r="AI49" s="116"/>
      <c r="AJ49" s="116"/>
      <c r="AK49" s="116"/>
      <c r="AL49" s="116"/>
      <c r="AM49" s="116"/>
      <c r="AN49" s="116"/>
      <c r="AO49" s="116"/>
      <c r="AP49" s="116"/>
      <c r="AQ49" s="116"/>
      <c r="AR49" s="116"/>
      <c r="AS49" s="116"/>
      <c r="AT49" s="116"/>
      <c r="AU49" s="86"/>
      <c r="AW49" s="95"/>
      <c r="AX49" s="122"/>
      <c r="AY49" s="122"/>
      <c r="AZ49" s="122"/>
      <c r="BA49" s="122"/>
      <c r="BB49" s="122"/>
      <c r="BC49" s="122"/>
      <c r="BD49" s="122"/>
      <c r="BE49" s="122"/>
      <c r="BF49" s="122"/>
      <c r="BG49" s="122"/>
      <c r="BH49" s="122"/>
      <c r="BI49" s="122"/>
      <c r="BJ49" s="122"/>
      <c r="BK49" s="122"/>
      <c r="BL49" s="122"/>
      <c r="BM49" s="122"/>
      <c r="BN49" s="122"/>
      <c r="BO49" s="122"/>
      <c r="BP49" s="96"/>
    </row>
    <row r="50" spans="1:68" x14ac:dyDescent="0.3">
      <c r="A50" s="32" t="s">
        <v>157</v>
      </c>
      <c r="B50" s="2">
        <v>45638.379166666666</v>
      </c>
      <c r="C50" s="12">
        <f t="shared" ref="C50:C76" si="3">(B50-B9)*24</f>
        <v>66.216666666674428</v>
      </c>
      <c r="E50">
        <v>275.517</v>
      </c>
      <c r="F50">
        <f t="shared" ref="F50:F76" si="4">E50/$O$61</f>
        <v>266.58431715224606</v>
      </c>
      <c r="G50">
        <f t="shared" si="2"/>
        <v>253.7235</v>
      </c>
      <c r="H50">
        <v>1.093</v>
      </c>
      <c r="I50">
        <f t="shared" ref="I50:I76" si="5">H50/$O$78</f>
        <v>0.15028557586740762</v>
      </c>
      <c r="J50" s="33">
        <f>I50-H9</f>
        <v>-2.5005774422346055E-2</v>
      </c>
      <c r="O50" s="32">
        <v>3000</v>
      </c>
      <c r="P50" s="28">
        <v>0.36458333333333331</v>
      </c>
      <c r="Q50" s="28">
        <v>0.36736111111111114</v>
      </c>
      <c r="R50" s="28">
        <v>0.4465277777777778</v>
      </c>
      <c r="S50" s="117">
        <v>0.44930555555555557</v>
      </c>
      <c r="AC50" s="85"/>
      <c r="AD50" s="116"/>
      <c r="AE50" s="116"/>
      <c r="AF50" s="116"/>
      <c r="AG50" s="116"/>
      <c r="AH50" s="116"/>
      <c r="AI50" s="116"/>
      <c r="AJ50" s="116"/>
      <c r="AK50" s="116"/>
      <c r="AL50" s="116"/>
      <c r="AM50" s="116"/>
      <c r="AN50" s="116"/>
      <c r="AO50" s="116"/>
      <c r="AP50" s="116"/>
      <c r="AQ50" s="116"/>
      <c r="AR50" s="116"/>
      <c r="AS50" s="116"/>
      <c r="AT50" s="116"/>
      <c r="AU50" s="86"/>
      <c r="AW50" s="95"/>
      <c r="AX50" s="122"/>
      <c r="AY50" s="122"/>
      <c r="AZ50" s="122"/>
      <c r="BA50" s="122"/>
      <c r="BB50" s="122"/>
      <c r="BC50" s="122"/>
      <c r="BD50" s="122"/>
      <c r="BE50" s="122"/>
      <c r="BF50" s="122"/>
      <c r="BG50" s="122"/>
      <c r="BH50" s="122"/>
      <c r="BI50" s="122"/>
      <c r="BJ50" s="122"/>
      <c r="BK50" s="122"/>
      <c r="BL50" s="122"/>
      <c r="BM50" s="122"/>
      <c r="BN50" s="122"/>
      <c r="BO50" s="122"/>
      <c r="BP50" s="96"/>
    </row>
    <row r="51" spans="1:68" ht="15" thickBot="1" x14ac:dyDescent="0.35">
      <c r="A51" s="32" t="s">
        <v>158</v>
      </c>
      <c r="B51" s="2">
        <v>45638.382638888892</v>
      </c>
      <c r="C51" s="12">
        <f t="shared" si="3"/>
        <v>66.216666666674428</v>
      </c>
      <c r="E51">
        <v>378.0865</v>
      </c>
      <c r="F51">
        <f t="shared" si="4"/>
        <v>365.82835696883564</v>
      </c>
      <c r="G51">
        <f t="shared" si="2"/>
        <v>330.41550000000001</v>
      </c>
      <c r="H51">
        <v>1.284</v>
      </c>
      <c r="I51">
        <f t="shared" si="5"/>
        <v>0.17654773962831785</v>
      </c>
      <c r="J51" s="33">
        <f t="shared" ref="J51:J76" si="6">I51-H10</f>
        <v>8.6862211687206481E-2</v>
      </c>
      <c r="O51" s="41">
        <v>7981</v>
      </c>
      <c r="P51" s="119">
        <v>0.36944444444444446</v>
      </c>
      <c r="Q51" s="119">
        <v>0.37222222222222223</v>
      </c>
      <c r="R51" s="119">
        <v>0.47847222222222224</v>
      </c>
      <c r="S51" s="120"/>
      <c r="AC51" s="85"/>
      <c r="AD51" s="116"/>
      <c r="AE51" s="116"/>
      <c r="AF51" s="116"/>
      <c r="AG51" s="116"/>
      <c r="AH51" s="116"/>
      <c r="AI51" s="116"/>
      <c r="AJ51" s="116"/>
      <c r="AK51" s="116"/>
      <c r="AL51" s="116"/>
      <c r="AM51" s="116"/>
      <c r="AN51" s="116"/>
      <c r="AO51" s="116"/>
      <c r="AP51" s="116"/>
      <c r="AQ51" s="116"/>
      <c r="AR51" s="116"/>
      <c r="AS51" s="116"/>
      <c r="AT51" s="116"/>
      <c r="AU51" s="86"/>
      <c r="AW51" s="95"/>
      <c r="AX51" s="122"/>
      <c r="AY51" s="122"/>
      <c r="AZ51" s="122"/>
      <c r="BA51" s="122"/>
      <c r="BB51" s="122"/>
      <c r="BC51" s="122"/>
      <c r="BD51" s="122"/>
      <c r="BE51" s="122"/>
      <c r="BF51" s="122"/>
      <c r="BG51" s="122"/>
      <c r="BH51" s="122"/>
      <c r="BI51" s="122"/>
      <c r="BJ51" s="122"/>
      <c r="BK51" s="122"/>
      <c r="BL51" s="122"/>
      <c r="BM51" s="122"/>
      <c r="BN51" s="122"/>
      <c r="BO51" s="122"/>
      <c r="BP51" s="96"/>
    </row>
    <row r="52" spans="1:68" x14ac:dyDescent="0.3">
      <c r="A52" s="32" t="s">
        <v>159</v>
      </c>
      <c r="B52" s="2">
        <v>45638.386111111111</v>
      </c>
      <c r="C52" s="12">
        <f t="shared" si="3"/>
        <v>66.216666666674428</v>
      </c>
      <c r="E52">
        <v>531.89300000000003</v>
      </c>
      <c r="F52">
        <f t="shared" si="4"/>
        <v>514.64821482180639</v>
      </c>
      <c r="G52">
        <f t="shared" si="2"/>
        <v>486.05600000000004</v>
      </c>
      <c r="H52">
        <v>1.3405</v>
      </c>
      <c r="I52">
        <f t="shared" si="5"/>
        <v>0.18431639016492216</v>
      </c>
      <c r="J52" s="33">
        <f t="shared" si="6"/>
        <v>0.11183362080538863</v>
      </c>
      <c r="AC52" s="85"/>
      <c r="AD52" s="116"/>
      <c r="AE52" s="116"/>
      <c r="AF52" s="116"/>
      <c r="AG52" s="116"/>
      <c r="AH52" s="116"/>
      <c r="AI52" s="116"/>
      <c r="AJ52" s="116"/>
      <c r="AK52" s="116"/>
      <c r="AL52" s="116"/>
      <c r="AM52" s="116"/>
      <c r="AN52" s="116"/>
      <c r="AO52" s="116"/>
      <c r="AP52" s="116"/>
      <c r="AQ52" s="116"/>
      <c r="AR52" s="116"/>
      <c r="AS52" s="116"/>
      <c r="AT52" s="116"/>
      <c r="AU52" s="86"/>
      <c r="AW52" s="95"/>
      <c r="AX52" s="122"/>
      <c r="AY52" s="122"/>
      <c r="AZ52" s="122"/>
      <c r="BA52" s="122"/>
      <c r="BB52" s="122"/>
      <c r="BC52" s="122"/>
      <c r="BD52" s="122"/>
      <c r="BE52" s="122"/>
      <c r="BF52" s="122"/>
      <c r="BG52" s="122"/>
      <c r="BH52" s="122"/>
      <c r="BI52" s="122"/>
      <c r="BJ52" s="122"/>
      <c r="BK52" s="122"/>
      <c r="BL52" s="122"/>
      <c r="BM52" s="122"/>
      <c r="BN52" s="122"/>
      <c r="BO52" s="122"/>
      <c r="BP52" s="96"/>
    </row>
    <row r="53" spans="1:68" x14ac:dyDescent="0.3">
      <c r="A53" s="32" t="s">
        <v>160</v>
      </c>
      <c r="B53" s="2">
        <v>45638.388888888891</v>
      </c>
      <c r="C53" s="12">
        <f t="shared" si="3"/>
        <v>66.216666666674428</v>
      </c>
      <c r="E53">
        <v>546.05399999999997</v>
      </c>
      <c r="F53">
        <f t="shared" si="4"/>
        <v>528.35009352690599</v>
      </c>
      <c r="G53">
        <f t="shared" si="2"/>
        <v>503.52199999999999</v>
      </c>
      <c r="H53">
        <v>0.98250000000000004</v>
      </c>
      <c r="I53">
        <f t="shared" si="5"/>
        <v>0.13509202039316376</v>
      </c>
      <c r="J53" s="33">
        <f t="shared" si="6"/>
        <v>0.13509202039316376</v>
      </c>
      <c r="AC53" s="85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86"/>
      <c r="AW53" s="95"/>
      <c r="AX53" s="122"/>
      <c r="AY53" s="122"/>
      <c r="AZ53" s="122"/>
      <c r="BA53" s="122"/>
      <c r="BB53" s="122"/>
      <c r="BC53" s="122"/>
      <c r="BD53" s="122"/>
      <c r="BE53" s="122"/>
      <c r="BF53" s="122"/>
      <c r="BG53" s="122"/>
      <c r="BH53" s="122"/>
      <c r="BI53" s="122"/>
      <c r="BJ53" s="122"/>
      <c r="BK53" s="122"/>
      <c r="BL53" s="122"/>
      <c r="BM53" s="122"/>
      <c r="BN53" s="122"/>
      <c r="BO53" s="122"/>
      <c r="BP53" s="96"/>
    </row>
    <row r="54" spans="1:68" ht="15" thickBot="1" x14ac:dyDescent="0.35">
      <c r="A54" s="32" t="s">
        <v>161</v>
      </c>
      <c r="B54" s="2">
        <v>45638.475694444445</v>
      </c>
      <c r="C54" s="12">
        <f t="shared" si="3"/>
        <v>66.416666666627862</v>
      </c>
      <c r="E54">
        <v>418.74</v>
      </c>
      <c r="F54">
        <f t="shared" si="4"/>
        <v>405.163808274377</v>
      </c>
      <c r="G54">
        <f t="shared" si="2"/>
        <v>391.77699999999999</v>
      </c>
      <c r="H54">
        <v>0.57299999999999995</v>
      </c>
      <c r="I54">
        <f t="shared" si="5"/>
        <v>7.8786491282730617E-2</v>
      </c>
      <c r="J54" s="33">
        <f t="shared" si="6"/>
        <v>7.8786491282730617E-2</v>
      </c>
      <c r="N54" t="s">
        <v>268</v>
      </c>
      <c r="AC54" s="85"/>
      <c r="AD54" s="116"/>
      <c r="AE54" s="116"/>
      <c r="AF54" s="116"/>
      <c r="AG54" s="116"/>
      <c r="AH54" s="116"/>
      <c r="AI54" s="116"/>
      <c r="AJ54" s="116"/>
      <c r="AK54" s="116"/>
      <c r="AL54" s="116"/>
      <c r="AM54" s="116"/>
      <c r="AN54" s="116"/>
      <c r="AO54" s="116"/>
      <c r="AP54" s="116"/>
      <c r="AQ54" s="116"/>
      <c r="AR54" s="116"/>
      <c r="AS54" s="116"/>
      <c r="AT54" s="116"/>
      <c r="AU54" s="86"/>
      <c r="AW54" s="95"/>
      <c r="AX54" s="122"/>
      <c r="AY54" s="122"/>
      <c r="AZ54" s="122"/>
      <c r="BA54" s="122"/>
      <c r="BB54" s="122"/>
      <c r="BC54" s="122"/>
      <c r="BD54" s="122"/>
      <c r="BE54" s="122"/>
      <c r="BF54" s="122"/>
      <c r="BG54" s="122"/>
      <c r="BH54" s="122"/>
      <c r="BI54" s="122"/>
      <c r="BJ54" s="122"/>
      <c r="BK54" s="122"/>
      <c r="BL54" s="122"/>
      <c r="BM54" s="122"/>
      <c r="BN54" s="122"/>
      <c r="BO54" s="122"/>
      <c r="BP54" s="96"/>
    </row>
    <row r="55" spans="1:68" x14ac:dyDescent="0.3">
      <c r="A55" s="32" t="s">
        <v>162</v>
      </c>
      <c r="B55" s="2">
        <v>45638.392361111109</v>
      </c>
      <c r="C55" s="12">
        <f t="shared" si="3"/>
        <v>66.216666666674428</v>
      </c>
      <c r="E55">
        <v>108.916</v>
      </c>
      <c r="F55">
        <f t="shared" si="4"/>
        <v>105.38477657260363</v>
      </c>
      <c r="G55">
        <f t="shared" si="2"/>
        <v>90.515000000000001</v>
      </c>
      <c r="H55">
        <v>1.4610000000000001</v>
      </c>
      <c r="I55">
        <f t="shared" si="5"/>
        <v>0.2008849280350252</v>
      </c>
      <c r="J55" s="33">
        <f t="shared" si="6"/>
        <v>0.2008849280350252</v>
      </c>
      <c r="N55" s="29" t="s">
        <v>263</v>
      </c>
      <c r="O55" s="30" t="s">
        <v>269</v>
      </c>
      <c r="P55" s="30" t="s">
        <v>270</v>
      </c>
      <c r="Q55" s="30" t="s">
        <v>271</v>
      </c>
      <c r="R55" s="30" t="s">
        <v>272</v>
      </c>
      <c r="S55" s="30" t="s">
        <v>273</v>
      </c>
      <c r="T55" s="31" t="s">
        <v>274</v>
      </c>
      <c r="AC55" s="85"/>
      <c r="AD55" s="116"/>
      <c r="AE55" s="116"/>
      <c r="AF55" s="116"/>
      <c r="AG55" s="116"/>
      <c r="AH55" s="116"/>
      <c r="AI55" s="116"/>
      <c r="AJ55" s="116"/>
      <c r="AK55" s="116"/>
      <c r="AL55" s="116"/>
      <c r="AM55" s="116"/>
      <c r="AN55" s="116"/>
      <c r="AO55" s="116"/>
      <c r="AP55" s="116"/>
      <c r="AQ55" s="116"/>
      <c r="AR55" s="116"/>
      <c r="AS55" s="116"/>
      <c r="AT55" s="116"/>
      <c r="AU55" s="86"/>
      <c r="AW55" s="95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96"/>
    </row>
    <row r="56" spans="1:68" x14ac:dyDescent="0.3">
      <c r="A56" s="32" t="s">
        <v>163</v>
      </c>
      <c r="B56" s="2">
        <v>45638.395833333336</v>
      </c>
      <c r="C56" s="12">
        <f t="shared" si="3"/>
        <v>66.233333333395422</v>
      </c>
      <c r="E56">
        <v>181.3725</v>
      </c>
      <c r="F56">
        <f t="shared" si="4"/>
        <v>175.49212594030769</v>
      </c>
      <c r="G56">
        <f t="shared" si="2"/>
        <v>160.35750000000002</v>
      </c>
      <c r="H56">
        <v>0.72899999999999998</v>
      </c>
      <c r="I56">
        <f t="shared" si="5"/>
        <v>0.10023621665813372</v>
      </c>
      <c r="J56" s="33">
        <f t="shared" si="6"/>
        <v>1.1570615115139599E-2</v>
      </c>
      <c r="N56" s="32">
        <v>0</v>
      </c>
      <c r="O56">
        <v>0</v>
      </c>
      <c r="T56" s="33"/>
      <c r="AC56" s="85"/>
      <c r="AD56" s="116"/>
      <c r="AE56" s="116"/>
      <c r="AF56" s="116"/>
      <c r="AG56" s="116"/>
      <c r="AH56" s="116"/>
      <c r="AI56" s="116"/>
      <c r="AJ56" s="116"/>
      <c r="AK56" s="116"/>
      <c r="AL56" s="116"/>
      <c r="AM56" s="116"/>
      <c r="AN56" s="116"/>
      <c r="AO56" s="116"/>
      <c r="AP56" s="116"/>
      <c r="AQ56" s="116"/>
      <c r="AR56" s="116"/>
      <c r="AS56" s="116"/>
      <c r="AT56" s="116"/>
      <c r="AU56" s="86"/>
      <c r="AW56" s="95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96"/>
    </row>
    <row r="57" spans="1:68" x14ac:dyDescent="0.3">
      <c r="A57" s="32" t="s">
        <v>164</v>
      </c>
      <c r="B57" s="2">
        <v>45638.398611111108</v>
      </c>
      <c r="C57" s="12">
        <f t="shared" si="3"/>
        <v>66.216666666674428</v>
      </c>
      <c r="E57">
        <v>277.50900000000001</v>
      </c>
      <c r="F57">
        <f t="shared" si="4"/>
        <v>268.51173346328051</v>
      </c>
      <c r="G57">
        <f t="shared" si="2"/>
        <v>254.839</v>
      </c>
      <c r="H57">
        <v>0.66700000000000004</v>
      </c>
      <c r="I57">
        <f t="shared" si="5"/>
        <v>9.1711325803806851E-2</v>
      </c>
      <c r="J57" s="33">
        <f t="shared" si="6"/>
        <v>9.1711325803806851E-2</v>
      </c>
      <c r="N57" s="32">
        <v>895</v>
      </c>
      <c r="O57">
        <f>AVERAGE(P57:T57)</f>
        <v>771.88183333333336</v>
      </c>
      <c r="P57" s="4">
        <v>706.45950000000005</v>
      </c>
      <c r="Q57">
        <v>799.44600000000003</v>
      </c>
      <c r="R57">
        <v>809.74</v>
      </c>
      <c r="T57" s="33"/>
      <c r="AC57" s="85"/>
      <c r="AD57" s="116"/>
      <c r="AE57" s="116"/>
      <c r="AF57" s="116"/>
      <c r="AG57" s="116"/>
      <c r="AH57" s="116"/>
      <c r="AI57" s="116"/>
      <c r="AJ57" s="116"/>
      <c r="AK57" s="116"/>
      <c r="AL57" s="116"/>
      <c r="AM57" s="116"/>
      <c r="AN57" s="116"/>
      <c r="AO57" s="116"/>
      <c r="AP57" s="116"/>
      <c r="AQ57" s="116"/>
      <c r="AR57" s="116"/>
      <c r="AS57" s="116"/>
      <c r="AT57" s="116"/>
      <c r="AU57" s="86"/>
      <c r="AW57" s="95"/>
      <c r="AX57" s="122"/>
      <c r="AY57" s="122"/>
      <c r="AZ57" s="122"/>
      <c r="BA57" s="122"/>
      <c r="BB57" s="122"/>
      <c r="BC57" s="122"/>
      <c r="BD57" s="122"/>
      <c r="BE57" s="122"/>
      <c r="BF57" s="122"/>
      <c r="BG57" s="122"/>
      <c r="BH57" s="122"/>
      <c r="BI57" s="122"/>
      <c r="BJ57" s="122"/>
      <c r="BK57" s="122"/>
      <c r="BL57" s="122"/>
      <c r="BM57" s="122"/>
      <c r="BN57" s="122"/>
      <c r="BO57" s="122"/>
      <c r="BP57" s="96"/>
    </row>
    <row r="58" spans="1:68" x14ac:dyDescent="0.3">
      <c r="A58" s="32" t="s">
        <v>165</v>
      </c>
      <c r="B58" s="2">
        <v>45638.402083333334</v>
      </c>
      <c r="C58" s="12">
        <f t="shared" si="3"/>
        <v>66.233333333395422</v>
      </c>
      <c r="E58">
        <v>952.85400000000004</v>
      </c>
      <c r="F58">
        <f t="shared" si="4"/>
        <v>921.96101487670921</v>
      </c>
      <c r="G58">
        <f t="shared" si="2"/>
        <v>888.15600000000006</v>
      </c>
      <c r="H58">
        <v>1.74</v>
      </c>
      <c r="I58">
        <f t="shared" si="5"/>
        <v>0.23924693687949614</v>
      </c>
      <c r="J58" s="33">
        <f t="shared" si="6"/>
        <v>0.23924693687949614</v>
      </c>
      <c r="N58" s="32">
        <v>3000</v>
      </c>
      <c r="O58">
        <f>AVERAGE(P58:T58)</f>
        <v>3055.7192499999996</v>
      </c>
      <c r="P58">
        <v>3020.0439999999999</v>
      </c>
      <c r="Q58">
        <v>3057.2179999999998</v>
      </c>
      <c r="R58">
        <v>3048.3229999999999</v>
      </c>
      <c r="S58">
        <v>3097.2919999999999</v>
      </c>
      <c r="T58" s="33"/>
      <c r="AC58" s="85"/>
      <c r="AD58" s="116"/>
      <c r="AE58" s="116"/>
      <c r="AF58" s="116"/>
      <c r="AG58" s="116"/>
      <c r="AH58" s="116"/>
      <c r="AI58" s="116"/>
      <c r="AJ58" s="116"/>
      <c r="AK58" s="116"/>
      <c r="AL58" s="116"/>
      <c r="AM58" s="116"/>
      <c r="AN58" s="116"/>
      <c r="AO58" s="116"/>
      <c r="AP58" s="116"/>
      <c r="AQ58" s="116"/>
      <c r="AR58" s="116"/>
      <c r="AS58" s="116"/>
      <c r="AT58" s="116"/>
      <c r="AU58" s="86"/>
      <c r="AW58" s="95"/>
      <c r="AX58" s="122"/>
      <c r="AY58" s="122"/>
      <c r="AZ58" s="122"/>
      <c r="BA58" s="122"/>
      <c r="BB58" s="122"/>
      <c r="BC58" s="122"/>
      <c r="BD58" s="122"/>
      <c r="BE58" s="122"/>
      <c r="BF58" s="122"/>
      <c r="BG58" s="122"/>
      <c r="BH58" s="122"/>
      <c r="BI58" s="122"/>
      <c r="BJ58" s="122"/>
      <c r="BK58" s="122"/>
      <c r="BL58" s="122"/>
      <c r="BM58" s="122"/>
      <c r="BN58" s="122"/>
      <c r="BO58" s="122"/>
      <c r="BP58" s="96"/>
    </row>
    <row r="59" spans="1:68" x14ac:dyDescent="0.3">
      <c r="A59" s="32" t="s">
        <v>166</v>
      </c>
      <c r="B59" s="2">
        <v>45638.404861111114</v>
      </c>
      <c r="C59" s="12">
        <f t="shared" si="3"/>
        <v>66.150000000139698</v>
      </c>
      <c r="E59">
        <v>264.49400000000003</v>
      </c>
      <c r="F59">
        <f t="shared" si="4"/>
        <v>255.91869968410725</v>
      </c>
      <c r="G59">
        <f t="shared" si="2"/>
        <v>240.37950000000004</v>
      </c>
      <c r="H59">
        <v>0.73199999999999998</v>
      </c>
      <c r="I59">
        <f t="shared" si="5"/>
        <v>0.10064871137689148</v>
      </c>
      <c r="J59" s="33">
        <f t="shared" si="6"/>
        <v>0.10064871137689148</v>
      </c>
      <c r="N59" s="32">
        <v>7981</v>
      </c>
      <c r="O59">
        <f>AVERAGE(P59:T59)</f>
        <v>8282.4380000000001</v>
      </c>
      <c r="P59">
        <v>8290.3245000000006</v>
      </c>
      <c r="Q59">
        <v>8364.8945000000003</v>
      </c>
      <c r="R59">
        <v>8192.0949999999993</v>
      </c>
      <c r="T59" s="33"/>
      <c r="AC59" s="85"/>
      <c r="AD59" s="116"/>
      <c r="AE59" s="116"/>
      <c r="AF59" s="116"/>
      <c r="AG59" s="116"/>
      <c r="AH59" s="116"/>
      <c r="AI59" s="116"/>
      <c r="AJ59" s="116"/>
      <c r="AK59" s="116"/>
      <c r="AL59" s="116"/>
      <c r="AM59" s="116"/>
      <c r="AN59" s="116"/>
      <c r="AO59" s="116"/>
      <c r="AP59" s="116"/>
      <c r="AQ59" s="116"/>
      <c r="AR59" s="116"/>
      <c r="AS59" s="116"/>
      <c r="AT59" s="116"/>
      <c r="AU59" s="86"/>
      <c r="AW59" s="95"/>
      <c r="AX59" s="122"/>
      <c r="AY59" s="122"/>
      <c r="AZ59" s="122"/>
      <c r="BA59" s="122"/>
      <c r="BB59" s="122"/>
      <c r="BC59" s="122"/>
      <c r="BD59" s="122"/>
      <c r="BE59" s="122"/>
      <c r="BF59" s="122"/>
      <c r="BG59" s="122"/>
      <c r="BH59" s="122"/>
      <c r="BI59" s="122"/>
      <c r="BJ59" s="122"/>
      <c r="BK59" s="122"/>
      <c r="BL59" s="122"/>
      <c r="BM59" s="122"/>
      <c r="BN59" s="122"/>
      <c r="BO59" s="122"/>
      <c r="BP59" s="96"/>
    </row>
    <row r="60" spans="1:68" ht="15" thickBot="1" x14ac:dyDescent="0.35">
      <c r="A60" s="32" t="s">
        <v>167</v>
      </c>
      <c r="B60" s="2">
        <v>45638.412499999999</v>
      </c>
      <c r="C60" s="12">
        <f t="shared" si="3"/>
        <v>66.266666666662786</v>
      </c>
      <c r="E60">
        <v>695.90750000000003</v>
      </c>
      <c r="F60">
        <f t="shared" si="4"/>
        <v>673.3451136903592</v>
      </c>
      <c r="G60">
        <f t="shared" si="2"/>
        <v>665.41600000000005</v>
      </c>
      <c r="H60">
        <v>0.90100000000000002</v>
      </c>
      <c r="I60">
        <f t="shared" si="5"/>
        <v>0.1238859138669115</v>
      </c>
      <c r="J60" s="33">
        <f t="shared" si="6"/>
        <v>0.1238859138669115</v>
      </c>
      <c r="N60" s="32"/>
      <c r="T60" s="33"/>
      <c r="AC60" s="85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86"/>
      <c r="AW60" s="95"/>
      <c r="AX60" s="122"/>
      <c r="AY60" s="122"/>
      <c r="AZ60" s="122"/>
      <c r="BA60" s="122"/>
      <c r="BB60" s="122"/>
      <c r="BC60" s="122"/>
      <c r="BD60" s="122"/>
      <c r="BE60" s="122"/>
      <c r="BF60" s="122"/>
      <c r="BG60" s="122"/>
      <c r="BH60" s="122"/>
      <c r="BI60" s="122"/>
      <c r="BJ60" s="122"/>
      <c r="BK60" s="122"/>
      <c r="BL60" s="122"/>
      <c r="BM60" s="122"/>
      <c r="BN60" s="122"/>
      <c r="BO60" s="122"/>
      <c r="BP60" s="96"/>
    </row>
    <row r="61" spans="1:68" ht="15" thickBot="1" x14ac:dyDescent="0.35">
      <c r="A61" s="32" t="s">
        <v>168</v>
      </c>
      <c r="B61" s="2">
        <v>45638.418749999997</v>
      </c>
      <c r="C61" s="12">
        <f t="shared" si="3"/>
        <v>66.299999999930151</v>
      </c>
      <c r="E61">
        <v>283.90699999999998</v>
      </c>
      <c r="F61">
        <f t="shared" si="4"/>
        <v>274.70230051046838</v>
      </c>
      <c r="G61">
        <f t="shared" si="2"/>
        <v>262.36949999999996</v>
      </c>
      <c r="H61">
        <v>0.74399999999999999</v>
      </c>
      <c r="I61">
        <f t="shared" si="5"/>
        <v>0.10229869025192248</v>
      </c>
      <c r="J61" s="33">
        <f t="shared" si="6"/>
        <v>0.10229869025192248</v>
      </c>
      <c r="N61" s="34" t="s">
        <v>275</v>
      </c>
      <c r="O61" s="35" cm="1">
        <f t="array" ref="O61:P61">LINEST(O56:O59,N56:N59,FALSE,FALSE)</f>
        <v>1.0335079082789873</v>
      </c>
      <c r="P61" s="36">
        <v>0</v>
      </c>
      <c r="Q61" s="36"/>
      <c r="R61" s="36"/>
      <c r="S61" s="36"/>
      <c r="T61" s="37"/>
      <c r="AC61" s="85"/>
      <c r="AD61" s="116"/>
      <c r="AE61" s="116"/>
      <c r="AF61" s="116"/>
      <c r="AG61" s="116"/>
      <c r="AH61" s="116"/>
      <c r="AI61" s="116"/>
      <c r="AJ61" s="116"/>
      <c r="AK61" s="116"/>
      <c r="AL61" s="116"/>
      <c r="AM61" s="116"/>
      <c r="AN61" s="116"/>
      <c r="AO61" s="116"/>
      <c r="AP61" s="116"/>
      <c r="AQ61" s="116"/>
      <c r="AR61" s="116"/>
      <c r="AS61" s="116"/>
      <c r="AT61" s="116"/>
      <c r="AU61" s="86"/>
      <c r="AW61" s="95"/>
      <c r="AX61" s="122"/>
      <c r="AY61" s="122"/>
      <c r="AZ61" s="122"/>
      <c r="BA61" s="122"/>
      <c r="BB61" s="122"/>
      <c r="BC61" s="122"/>
      <c r="BD61" s="122"/>
      <c r="BE61" s="122"/>
      <c r="BF61" s="122"/>
      <c r="BG61" s="122"/>
      <c r="BH61" s="122"/>
      <c r="BI61" s="122"/>
      <c r="BJ61" s="122"/>
      <c r="BK61" s="122"/>
      <c r="BL61" s="122"/>
      <c r="BM61" s="122"/>
      <c r="BN61" s="122"/>
      <c r="BO61" s="122"/>
      <c r="BP61" s="96"/>
    </row>
    <row r="62" spans="1:68" x14ac:dyDescent="0.3">
      <c r="A62" s="32" t="s">
        <v>169</v>
      </c>
      <c r="B62" s="2">
        <v>45638.421527777777</v>
      </c>
      <c r="C62" s="12">
        <f t="shared" si="3"/>
        <v>66.28333333338378</v>
      </c>
      <c r="E62">
        <v>346.99149999999997</v>
      </c>
      <c r="F62">
        <f t="shared" si="4"/>
        <v>335.74150446300439</v>
      </c>
      <c r="G62">
        <f t="shared" si="2"/>
        <v>317.58699999999999</v>
      </c>
      <c r="H62">
        <v>0</v>
      </c>
      <c r="I62">
        <f t="shared" si="5"/>
        <v>0</v>
      </c>
      <c r="J62" s="33">
        <f t="shared" si="6"/>
        <v>0</v>
      </c>
      <c r="AC62" s="85"/>
      <c r="AD62" s="116"/>
      <c r="AE62" s="116"/>
      <c r="AF62" s="116"/>
      <c r="AG62" s="116"/>
      <c r="AH62" s="116"/>
      <c r="AI62" s="116"/>
      <c r="AJ62" s="116"/>
      <c r="AK62" s="116"/>
      <c r="AL62" s="116"/>
      <c r="AM62" s="116"/>
      <c r="AN62" s="116"/>
      <c r="AO62" s="116"/>
      <c r="AP62" s="116"/>
      <c r="AQ62" s="116"/>
      <c r="AR62" s="116"/>
      <c r="AS62" s="116"/>
      <c r="AT62" s="116"/>
      <c r="AU62" s="86"/>
      <c r="AW62" s="95"/>
      <c r="AX62" s="122"/>
      <c r="AY62" s="122"/>
      <c r="AZ62" s="122"/>
      <c r="BA62" s="122"/>
      <c r="BB62" s="122"/>
      <c r="BC62" s="122"/>
      <c r="BD62" s="122"/>
      <c r="BE62" s="122"/>
      <c r="BF62" s="122"/>
      <c r="BG62" s="122"/>
      <c r="BH62" s="122"/>
      <c r="BI62" s="122"/>
      <c r="BJ62" s="122"/>
      <c r="BK62" s="122"/>
      <c r="BL62" s="122"/>
      <c r="BM62" s="122"/>
      <c r="BN62" s="122"/>
      <c r="BO62" s="122"/>
      <c r="BP62" s="96"/>
    </row>
    <row r="63" spans="1:68" x14ac:dyDescent="0.3">
      <c r="A63" s="32" t="s">
        <v>170</v>
      </c>
      <c r="B63" s="2">
        <v>45638.425000000003</v>
      </c>
      <c r="C63" s="12">
        <f t="shared" si="3"/>
        <v>66.300000000104774</v>
      </c>
      <c r="E63">
        <v>394.8075</v>
      </c>
      <c r="F63">
        <f t="shared" si="4"/>
        <v>382.00723655558602</v>
      </c>
      <c r="G63">
        <f t="shared" si="2"/>
        <v>359.89850000000001</v>
      </c>
      <c r="H63">
        <v>0.69899999999999995</v>
      </c>
      <c r="I63">
        <f t="shared" si="5"/>
        <v>9.6111269470556204E-2</v>
      </c>
      <c r="J63" s="33">
        <f t="shared" si="6"/>
        <v>9.6111269470556204E-2</v>
      </c>
      <c r="AC63" s="85"/>
      <c r="AD63" s="116"/>
      <c r="AE63" s="116"/>
      <c r="AF63" s="116"/>
      <c r="AG63" s="116"/>
      <c r="AH63" s="116"/>
      <c r="AI63" s="116"/>
      <c r="AJ63" s="116"/>
      <c r="AK63" s="116"/>
      <c r="AL63" s="116"/>
      <c r="AM63" s="116"/>
      <c r="AN63" s="116"/>
      <c r="AO63" s="116"/>
      <c r="AP63" s="116"/>
      <c r="AQ63" s="116"/>
      <c r="AR63" s="116"/>
      <c r="AS63" s="116"/>
      <c r="AT63" s="116"/>
      <c r="AU63" s="86"/>
      <c r="AW63" s="95"/>
      <c r="AX63" s="122"/>
      <c r="AY63" s="122"/>
      <c r="AZ63" s="122"/>
      <c r="BA63" s="122"/>
      <c r="BB63" s="122"/>
      <c r="BC63" s="122"/>
      <c r="BD63" s="122"/>
      <c r="BE63" s="122"/>
      <c r="BF63" s="122"/>
      <c r="BG63" s="122"/>
      <c r="BH63" s="122"/>
      <c r="BI63" s="122"/>
      <c r="BJ63" s="122"/>
      <c r="BK63" s="122"/>
      <c r="BL63" s="122"/>
      <c r="BM63" s="122"/>
      <c r="BN63" s="122"/>
      <c r="BO63" s="122"/>
      <c r="BP63" s="96"/>
    </row>
    <row r="64" spans="1:68" ht="15" thickBot="1" x14ac:dyDescent="0.35">
      <c r="A64" s="32" t="s">
        <v>171</v>
      </c>
      <c r="B64" s="2">
        <v>45638.427777777775</v>
      </c>
      <c r="C64" s="12">
        <f t="shared" si="3"/>
        <v>66.283333333209157</v>
      </c>
      <c r="E64">
        <v>412.8</v>
      </c>
      <c r="F64">
        <f t="shared" si="4"/>
        <v>399.41639216617187</v>
      </c>
      <c r="G64">
        <f t="shared" si="2"/>
        <v>381.10599999999999</v>
      </c>
      <c r="H64">
        <v>0.72099999999999997</v>
      </c>
      <c r="I64">
        <f t="shared" si="5"/>
        <v>9.9136230741446382E-2</v>
      </c>
      <c r="J64" s="33">
        <f t="shared" si="6"/>
        <v>9.9136230741446382E-2</v>
      </c>
      <c r="AC64" s="85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86"/>
      <c r="AW64" s="95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2"/>
      <c r="BN64" s="122"/>
      <c r="BO64" s="122"/>
      <c r="BP64" s="96"/>
    </row>
    <row r="65" spans="1:68" x14ac:dyDescent="0.3">
      <c r="A65" s="32" t="s">
        <v>172</v>
      </c>
      <c r="B65" s="2">
        <v>45638.431250000001</v>
      </c>
      <c r="C65" s="12">
        <f t="shared" si="3"/>
        <v>66.300000000104774</v>
      </c>
      <c r="E65">
        <v>239.61250000000001</v>
      </c>
      <c r="F65">
        <f t="shared" si="4"/>
        <v>231.84389599786061</v>
      </c>
      <c r="G65">
        <f t="shared" si="2"/>
        <v>218.29250000000002</v>
      </c>
      <c r="H65">
        <v>0</v>
      </c>
      <c r="I65">
        <f t="shared" si="5"/>
        <v>0</v>
      </c>
      <c r="J65" s="33">
        <f t="shared" si="6"/>
        <v>0</v>
      </c>
      <c r="O65" s="29" t="s">
        <v>301</v>
      </c>
      <c r="P65" s="30" t="s">
        <v>264</v>
      </c>
      <c r="Q65" s="30"/>
      <c r="R65" s="31"/>
      <c r="AC65" s="85"/>
      <c r="AD65" s="116"/>
      <c r="AE65" s="11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86"/>
      <c r="AW65" s="95"/>
      <c r="AX65" s="122"/>
      <c r="AY65" s="122"/>
      <c r="AZ65" s="122"/>
      <c r="BA65" s="122"/>
      <c r="BB65" s="122"/>
      <c r="BC65" s="122"/>
      <c r="BD65" s="122"/>
      <c r="BE65" s="122"/>
      <c r="BF65" s="122"/>
      <c r="BG65" s="122"/>
      <c r="BH65" s="122"/>
      <c r="BI65" s="122"/>
      <c r="BJ65" s="122"/>
      <c r="BK65" s="122"/>
      <c r="BL65" s="122"/>
      <c r="BM65" s="122"/>
      <c r="BN65" s="122"/>
      <c r="BO65" s="122"/>
      <c r="BP65" s="96"/>
    </row>
    <row r="66" spans="1:68" x14ac:dyDescent="0.3">
      <c r="A66" s="32" t="s">
        <v>173</v>
      </c>
      <c r="B66" s="2">
        <v>45638.434027777781</v>
      </c>
      <c r="C66" s="12">
        <f t="shared" si="3"/>
        <v>66.300000000104774</v>
      </c>
      <c r="E66">
        <v>477.20499999999998</v>
      </c>
      <c r="F66">
        <f t="shared" si="4"/>
        <v>461.7332834875437</v>
      </c>
      <c r="G66">
        <f t="shared" si="2"/>
        <v>446.584</v>
      </c>
      <c r="H66">
        <v>1.3220000000000001</v>
      </c>
      <c r="I66">
        <f t="shared" si="5"/>
        <v>0.18177267273258271</v>
      </c>
      <c r="J66" s="33">
        <f t="shared" si="6"/>
        <v>0.18177267273258271</v>
      </c>
      <c r="O66" s="32">
        <v>2</v>
      </c>
      <c r="P66" s="28">
        <v>0.33333333333333331</v>
      </c>
      <c r="Q66" s="28">
        <v>0.33680555555555558</v>
      </c>
      <c r="R66" s="117">
        <v>0.40833333333333333</v>
      </c>
      <c r="S66" s="28"/>
      <c r="AC66" s="85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86"/>
      <c r="AW66" s="95"/>
      <c r="AX66" s="122"/>
      <c r="AY66" s="122"/>
      <c r="AZ66" s="122"/>
      <c r="BA66" s="122"/>
      <c r="BB66" s="122"/>
      <c r="BC66" s="122"/>
      <c r="BD66" s="122"/>
      <c r="BE66" s="122"/>
      <c r="BF66" s="122"/>
      <c r="BG66" s="122"/>
      <c r="BH66" s="122"/>
      <c r="BI66" s="122"/>
      <c r="BJ66" s="122"/>
      <c r="BK66" s="122"/>
      <c r="BL66" s="122"/>
      <c r="BM66" s="122"/>
      <c r="BN66" s="122"/>
      <c r="BO66" s="122"/>
      <c r="BP66" s="96"/>
    </row>
    <row r="67" spans="1:68" x14ac:dyDescent="0.3">
      <c r="A67" s="32" t="s">
        <v>174</v>
      </c>
      <c r="B67" s="2">
        <v>45638.436805555553</v>
      </c>
      <c r="C67" s="12">
        <f t="shared" si="3"/>
        <v>66.299999999930151</v>
      </c>
      <c r="E67">
        <v>306.68400000000003</v>
      </c>
      <c r="F67">
        <f t="shared" si="4"/>
        <v>296.74083530787374</v>
      </c>
      <c r="G67">
        <f t="shared" si="2"/>
        <v>275.78800000000001</v>
      </c>
      <c r="H67">
        <v>0</v>
      </c>
      <c r="I67">
        <f t="shared" si="5"/>
        <v>0</v>
      </c>
      <c r="J67" s="33">
        <f t="shared" si="6"/>
        <v>0</v>
      </c>
      <c r="O67" s="32">
        <v>30</v>
      </c>
      <c r="P67" s="28">
        <v>0.34027777777777779</v>
      </c>
      <c r="Q67" s="28">
        <v>0.34305555555555556</v>
      </c>
      <c r="R67" s="117">
        <v>0.44930555555555557</v>
      </c>
      <c r="S67" s="28"/>
      <c r="AC67" s="85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86"/>
      <c r="AW67" s="95"/>
      <c r="AX67" s="122"/>
      <c r="AY67" s="122"/>
      <c r="AZ67" s="122"/>
      <c r="BA67" s="122"/>
      <c r="BB67" s="122"/>
      <c r="BC67" s="122"/>
      <c r="BD67" s="122"/>
      <c r="BE67" s="122"/>
      <c r="BF67" s="122"/>
      <c r="BG67" s="122"/>
      <c r="BH67" s="122"/>
      <c r="BI67" s="122"/>
      <c r="BJ67" s="122"/>
      <c r="BK67" s="122"/>
      <c r="BL67" s="122"/>
      <c r="BM67" s="122"/>
      <c r="BN67" s="122"/>
      <c r="BO67" s="122"/>
      <c r="BP67" s="96"/>
    </row>
    <row r="68" spans="1:68" ht="15" thickBot="1" x14ac:dyDescent="0.35">
      <c r="A68" s="32" t="s">
        <v>175</v>
      </c>
      <c r="B68" s="2">
        <v>45638.44027777778</v>
      </c>
      <c r="C68" s="12">
        <f t="shared" si="3"/>
        <v>66.300000000104774</v>
      </c>
      <c r="E68">
        <v>298.38</v>
      </c>
      <c r="F68">
        <f t="shared" si="4"/>
        <v>288.70606369801931</v>
      </c>
      <c r="G68">
        <f t="shared" si="2"/>
        <v>268.90699999999998</v>
      </c>
      <c r="H68">
        <v>0</v>
      </c>
      <c r="I68">
        <f t="shared" si="5"/>
        <v>0</v>
      </c>
      <c r="J68" s="33">
        <f t="shared" si="6"/>
        <v>0</v>
      </c>
      <c r="O68" s="41">
        <v>1000</v>
      </c>
      <c r="P68" s="119">
        <v>0.34791666666666665</v>
      </c>
      <c r="Q68" s="119">
        <v>0.35138888888888886</v>
      </c>
      <c r="R68" s="120">
        <v>0.47847222222222224</v>
      </c>
      <c r="S68" s="28"/>
      <c r="AC68" s="85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86"/>
      <c r="AW68" s="95"/>
      <c r="AX68" s="122"/>
      <c r="AY68" s="122"/>
      <c r="AZ68" s="122"/>
      <c r="BA68" s="122"/>
      <c r="BB68" s="122"/>
      <c r="BC68" s="122"/>
      <c r="BD68" s="122"/>
      <c r="BE68" s="122"/>
      <c r="BF68" s="122"/>
      <c r="BG68" s="122"/>
      <c r="BH68" s="122"/>
      <c r="BI68" s="122"/>
      <c r="BJ68" s="122"/>
      <c r="BK68" s="122"/>
      <c r="BL68" s="122"/>
      <c r="BM68" s="122"/>
      <c r="BN68" s="122"/>
      <c r="BO68" s="122"/>
      <c r="BP68" s="96"/>
    </row>
    <row r="69" spans="1:68" x14ac:dyDescent="0.3">
      <c r="A69" s="32" t="s">
        <v>176</v>
      </c>
      <c r="B69" s="2">
        <v>45638.443749999999</v>
      </c>
      <c r="C69" s="12">
        <f t="shared" si="3"/>
        <v>66.216666666674428</v>
      </c>
      <c r="E69">
        <v>276.42500000000001</v>
      </c>
      <c r="F69">
        <f t="shared" si="4"/>
        <v>267.46287840245657</v>
      </c>
      <c r="G69">
        <f t="shared" si="2"/>
        <v>248.381</v>
      </c>
      <c r="H69" s="43">
        <v>0</v>
      </c>
      <c r="I69">
        <f t="shared" si="5"/>
        <v>0</v>
      </c>
      <c r="J69" s="33">
        <f t="shared" si="6"/>
        <v>-0.14020588219451982</v>
      </c>
      <c r="AC69" s="85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86"/>
      <c r="AW69" s="95"/>
      <c r="AX69" s="122"/>
      <c r="AY69" s="122"/>
      <c r="AZ69" s="122"/>
      <c r="BA69" s="122"/>
      <c r="BB69" s="122"/>
      <c r="BC69" s="122"/>
      <c r="BD69" s="122"/>
      <c r="BE69" s="122"/>
      <c r="BF69" s="122"/>
      <c r="BG69" s="122"/>
      <c r="BH69" s="122"/>
      <c r="BI69" s="122"/>
      <c r="BJ69" s="122"/>
      <c r="BK69" s="122"/>
      <c r="BL69" s="122"/>
      <c r="BM69" s="122"/>
      <c r="BN69" s="122"/>
      <c r="BO69" s="122"/>
      <c r="BP69" s="96"/>
    </row>
    <row r="70" spans="1:68" x14ac:dyDescent="0.3">
      <c r="A70" s="32" t="s">
        <v>177</v>
      </c>
      <c r="B70" s="2">
        <v>45638.453472222223</v>
      </c>
      <c r="C70" s="12">
        <f t="shared" si="3"/>
        <v>66.366666666639503</v>
      </c>
      <c r="E70">
        <v>335.29</v>
      </c>
      <c r="F70">
        <f t="shared" si="4"/>
        <v>324.41938500338125</v>
      </c>
      <c r="G70">
        <f t="shared" si="2"/>
        <v>305.99100000000004</v>
      </c>
      <c r="H70">
        <v>1.127</v>
      </c>
      <c r="I70">
        <f t="shared" si="5"/>
        <v>0.1549605160133288</v>
      </c>
      <c r="J70" s="33">
        <f t="shared" si="6"/>
        <v>7.4998286400935338E-2</v>
      </c>
      <c r="AC70" s="85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86"/>
      <c r="AW70" s="95"/>
      <c r="AX70" s="122"/>
      <c r="AY70" s="122"/>
      <c r="AZ70" s="122"/>
      <c r="BA70" s="122"/>
      <c r="BB70" s="122"/>
      <c r="BC70" s="122"/>
      <c r="BD70" s="122"/>
      <c r="BE70" s="122"/>
      <c r="BF70" s="122"/>
      <c r="BG70" s="122"/>
      <c r="BH70" s="122"/>
      <c r="BI70" s="122"/>
      <c r="BJ70" s="122"/>
      <c r="BK70" s="122"/>
      <c r="BL70" s="122"/>
      <c r="BM70" s="122"/>
      <c r="BN70" s="122"/>
      <c r="BO70" s="122"/>
      <c r="BP70" s="96"/>
    </row>
    <row r="71" spans="1:68" ht="15" thickBot="1" x14ac:dyDescent="0.35">
      <c r="A71" s="32" t="s">
        <v>178</v>
      </c>
      <c r="B71" s="2">
        <v>45638.456944444442</v>
      </c>
      <c r="C71" s="12">
        <f t="shared" si="3"/>
        <v>66.383333333360497</v>
      </c>
      <c r="E71">
        <v>215.92599999999999</v>
      </c>
      <c r="F71">
        <f t="shared" si="4"/>
        <v>208.92534858254075</v>
      </c>
      <c r="G71">
        <f t="shared" si="2"/>
        <v>189.61199999999999</v>
      </c>
      <c r="H71">
        <v>0.81699999999999995</v>
      </c>
      <c r="I71">
        <f t="shared" si="5"/>
        <v>0.11233606174169444</v>
      </c>
      <c r="J71" s="33">
        <f t="shared" si="6"/>
        <v>0.11233606174169444</v>
      </c>
      <c r="N71" t="s">
        <v>303</v>
      </c>
      <c r="AC71" s="85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86"/>
      <c r="AW71" s="95"/>
      <c r="AX71" s="122"/>
      <c r="AY71" s="122"/>
      <c r="AZ71" s="122"/>
      <c r="BA71" s="122"/>
      <c r="BB71" s="122"/>
      <c r="BC71" s="122"/>
      <c r="BD71" s="122"/>
      <c r="BE71" s="122"/>
      <c r="BF71" s="122"/>
      <c r="BG71" s="122"/>
      <c r="BH71" s="122"/>
      <c r="BI71" s="122"/>
      <c r="BJ71" s="122"/>
      <c r="BK71" s="122"/>
      <c r="BL71" s="122"/>
      <c r="BM71" s="122"/>
      <c r="BN71" s="122"/>
      <c r="BO71" s="122"/>
      <c r="BP71" s="96"/>
    </row>
    <row r="72" spans="1:68" x14ac:dyDescent="0.3">
      <c r="A72" s="32" t="s">
        <v>179</v>
      </c>
      <c r="B72" s="2">
        <v>45638.459722222222</v>
      </c>
      <c r="C72" s="12">
        <f t="shared" si="3"/>
        <v>66.383333333360497</v>
      </c>
      <c r="E72">
        <v>201.423</v>
      </c>
      <c r="F72">
        <f t="shared" si="4"/>
        <v>194.89255804090806</v>
      </c>
      <c r="G72">
        <f t="shared" si="2"/>
        <v>181.00299999999999</v>
      </c>
      <c r="H72">
        <v>0</v>
      </c>
      <c r="I72">
        <f t="shared" si="5"/>
        <v>0</v>
      </c>
      <c r="J72" s="33">
        <f t="shared" si="6"/>
        <v>-7.4726607435391515E-2</v>
      </c>
      <c r="N72" s="29" t="s">
        <v>301</v>
      </c>
      <c r="O72" s="30" t="s">
        <v>269</v>
      </c>
      <c r="P72" s="30" t="s">
        <v>270</v>
      </c>
      <c r="Q72" s="30" t="s">
        <v>271</v>
      </c>
      <c r="R72" s="30" t="s">
        <v>272</v>
      </c>
      <c r="S72" s="30" t="s">
        <v>273</v>
      </c>
      <c r="T72" s="31" t="s">
        <v>274</v>
      </c>
      <c r="AC72" s="85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86"/>
      <c r="AW72" s="95"/>
      <c r="AX72" s="122"/>
      <c r="AY72" s="122"/>
      <c r="AZ72" s="122"/>
      <c r="BA72" s="122"/>
      <c r="BB72" s="122"/>
      <c r="BC72" s="122"/>
      <c r="BD72" s="122"/>
      <c r="BE72" s="122"/>
      <c r="BF72" s="122"/>
      <c r="BG72" s="122"/>
      <c r="BH72" s="122"/>
      <c r="BI72" s="122"/>
      <c r="BJ72" s="122"/>
      <c r="BK72" s="122"/>
      <c r="BL72" s="122"/>
      <c r="BM72" s="122"/>
      <c r="BN72" s="122"/>
      <c r="BO72" s="122"/>
      <c r="BP72" s="96"/>
    </row>
    <row r="73" spans="1:68" x14ac:dyDescent="0.3">
      <c r="A73" s="32" t="s">
        <v>180</v>
      </c>
      <c r="B73" s="2">
        <v>45638.463194444441</v>
      </c>
      <c r="C73" s="12">
        <f t="shared" si="3"/>
        <v>66.399999999906868</v>
      </c>
      <c r="D73" s="12"/>
      <c r="E73">
        <v>138.904</v>
      </c>
      <c r="F73">
        <f t="shared" si="4"/>
        <v>134.40051971281477</v>
      </c>
      <c r="G73">
        <f t="shared" si="2"/>
        <v>119.596</v>
      </c>
      <c r="H73">
        <v>0</v>
      </c>
      <c r="I73">
        <f t="shared" si="5"/>
        <v>0</v>
      </c>
      <c r="J73" s="33">
        <f t="shared" si="6"/>
        <v>-7.4522622155768062E-2</v>
      </c>
      <c r="N73" s="32">
        <v>0</v>
      </c>
      <c r="O73">
        <v>0</v>
      </c>
      <c r="P73">
        <v>0</v>
      </c>
      <c r="Q73">
        <v>0</v>
      </c>
      <c r="T73" s="33"/>
      <c r="AC73" s="85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86"/>
      <c r="AW73" s="95"/>
      <c r="AX73" s="122"/>
      <c r="AY73" s="122"/>
      <c r="AZ73" s="122"/>
      <c r="BA73" s="122"/>
      <c r="BB73" s="122"/>
      <c r="BC73" s="122"/>
      <c r="BD73" s="122"/>
      <c r="BE73" s="122"/>
      <c r="BF73" s="122"/>
      <c r="BG73" s="122"/>
      <c r="BH73" s="122"/>
      <c r="BI73" s="122"/>
      <c r="BJ73" s="122"/>
      <c r="BK73" s="122"/>
      <c r="BL73" s="122"/>
      <c r="BM73" s="122"/>
      <c r="BN73" s="122"/>
      <c r="BO73" s="122"/>
      <c r="BP73" s="96"/>
    </row>
    <row r="74" spans="1:68" x14ac:dyDescent="0.3">
      <c r="A74" s="32" t="s">
        <v>181</v>
      </c>
      <c r="B74" s="2">
        <v>45638.46597222222</v>
      </c>
      <c r="C74" s="12">
        <f t="shared" si="3"/>
        <v>66.399999999906868</v>
      </c>
      <c r="E74">
        <v>216.96299999999999</v>
      </c>
      <c r="F74">
        <f t="shared" si="4"/>
        <v>209.92872745530318</v>
      </c>
      <c r="G74">
        <f t="shared" si="2"/>
        <v>193.40350000000001</v>
      </c>
      <c r="H74">
        <v>0</v>
      </c>
      <c r="I74">
        <f t="shared" si="5"/>
        <v>0</v>
      </c>
      <c r="J74" s="33">
        <f t="shared" si="6"/>
        <v>0</v>
      </c>
      <c r="N74" s="32">
        <v>2</v>
      </c>
      <c r="O74">
        <f>AVERAGE(P74:T74)</f>
        <v>14.939846666666666</v>
      </c>
      <c r="P74">
        <v>15.097</v>
      </c>
      <c r="Q74">
        <v>14.907999999999999</v>
      </c>
      <c r="R74">
        <v>14.814539999999999</v>
      </c>
      <c r="T74" s="33"/>
      <c r="AC74" s="85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86"/>
      <c r="AW74" s="95"/>
      <c r="AX74" s="122"/>
      <c r="AY74" s="122"/>
      <c r="AZ74" s="122"/>
      <c r="BA74" s="122"/>
      <c r="BB74" s="122"/>
      <c r="BC74" s="122"/>
      <c r="BD74" s="122"/>
      <c r="BE74" s="122"/>
      <c r="BF74" s="122"/>
      <c r="BG74" s="122"/>
      <c r="BH74" s="122"/>
      <c r="BI74" s="122"/>
      <c r="BJ74" s="122"/>
      <c r="BK74" s="122"/>
      <c r="BL74" s="122"/>
      <c r="BM74" s="122"/>
      <c r="BN74" s="122"/>
      <c r="BO74" s="122"/>
      <c r="BP74" s="96"/>
    </row>
    <row r="75" spans="1:68" x14ac:dyDescent="0.3">
      <c r="A75" s="32" t="s">
        <v>182</v>
      </c>
      <c r="B75" s="2">
        <v>45638.469444444447</v>
      </c>
      <c r="C75" s="12">
        <f t="shared" si="3"/>
        <v>66.400000000081491</v>
      </c>
      <c r="E75">
        <v>171.36699999999999</v>
      </c>
      <c r="F75">
        <f t="shared" si="4"/>
        <v>165.81101956477804</v>
      </c>
      <c r="G75">
        <f t="shared" si="2"/>
        <v>157.32999999999998</v>
      </c>
      <c r="H75">
        <v>0.50900000000000001</v>
      </c>
      <c r="I75">
        <f t="shared" si="5"/>
        <v>6.998660394923191E-2</v>
      </c>
      <c r="J75" s="33">
        <f t="shared" si="6"/>
        <v>6.998660394923191E-2</v>
      </c>
      <c r="N75" s="32">
        <v>30</v>
      </c>
      <c r="O75">
        <f>AVERAGE(P75:T75)</f>
        <v>215.44899999999998</v>
      </c>
      <c r="P75">
        <v>216.488</v>
      </c>
      <c r="Q75">
        <v>216.31</v>
      </c>
      <c r="R75" s="4">
        <v>213.54900000000001</v>
      </c>
      <c r="T75" s="33"/>
      <c r="AC75" s="85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86"/>
      <c r="AW75" s="95"/>
      <c r="AX75" s="122"/>
      <c r="AY75" s="122"/>
      <c r="AZ75" s="122"/>
      <c r="BA75" s="122"/>
      <c r="BB75" s="122"/>
      <c r="BC75" s="122"/>
      <c r="BD75" s="122"/>
      <c r="BE75" s="122"/>
      <c r="BF75" s="122"/>
      <c r="BG75" s="122"/>
      <c r="BH75" s="122"/>
      <c r="BI75" s="122"/>
      <c r="BJ75" s="122"/>
      <c r="BK75" s="122"/>
      <c r="BL75" s="122"/>
      <c r="BM75" s="122"/>
      <c r="BN75" s="122"/>
      <c r="BO75" s="122"/>
      <c r="BP75" s="96"/>
    </row>
    <row r="76" spans="1:68" ht="15" thickBot="1" x14ac:dyDescent="0.35">
      <c r="A76" s="41" t="s">
        <v>183</v>
      </c>
      <c r="B76" s="121">
        <v>45638.472222222219</v>
      </c>
      <c r="C76" s="56">
        <f t="shared" si="3"/>
        <v>66.399999999906868</v>
      </c>
      <c r="D76" s="36"/>
      <c r="E76" s="36">
        <v>135.61199999999999</v>
      </c>
      <c r="F76" s="36">
        <f t="shared" si="4"/>
        <v>131.21525139156711</v>
      </c>
      <c r="G76" s="36">
        <f t="shared" si="2"/>
        <v>117.57</v>
      </c>
      <c r="H76" s="36">
        <v>0</v>
      </c>
      <c r="I76" s="36">
        <f t="shared" si="5"/>
        <v>0</v>
      </c>
      <c r="J76" s="37">
        <f t="shared" si="6"/>
        <v>0</v>
      </c>
      <c r="N76" s="32">
        <v>1000</v>
      </c>
      <c r="O76">
        <f>AVERAGE(P76:T76)</f>
        <v>7272.9016666666676</v>
      </c>
      <c r="P76">
        <v>7275.5940000000001</v>
      </c>
      <c r="Q76">
        <v>7271.8280000000004</v>
      </c>
      <c r="R76">
        <v>7271.2830000000004</v>
      </c>
      <c r="T76" s="33"/>
      <c r="AC76" s="85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86"/>
      <c r="AW76" s="95"/>
      <c r="AX76" s="122"/>
      <c r="AY76" s="122"/>
      <c r="AZ76" s="122"/>
      <c r="BA76" s="122"/>
      <c r="BB76" s="122"/>
      <c r="BC76" s="122"/>
      <c r="BD76" s="122"/>
      <c r="BE76" s="122"/>
      <c r="BF76" s="122"/>
      <c r="BG76" s="122"/>
      <c r="BH76" s="122"/>
      <c r="BI76" s="122"/>
      <c r="BJ76" s="122"/>
      <c r="BK76" s="122"/>
      <c r="BL76" s="122"/>
      <c r="BM76" s="122"/>
      <c r="BN76" s="122"/>
      <c r="BO76" s="122"/>
      <c r="BP76" s="96"/>
    </row>
    <row r="77" spans="1:68" ht="15" thickBot="1" x14ac:dyDescent="0.35">
      <c r="N77" s="32"/>
      <c r="T77" s="33"/>
      <c r="AC77" s="85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86"/>
      <c r="AW77" s="95"/>
      <c r="AX77" s="122"/>
      <c r="AY77" s="122"/>
      <c r="AZ77" s="122"/>
      <c r="BA77" s="122"/>
      <c r="BB77" s="122"/>
      <c r="BC77" s="122"/>
      <c r="BD77" s="122"/>
      <c r="BE77" s="122"/>
      <c r="BF77" s="122"/>
      <c r="BG77" s="122"/>
      <c r="BH77" s="122"/>
      <c r="BI77" s="122"/>
      <c r="BJ77" s="122"/>
      <c r="BK77" s="122"/>
      <c r="BL77" s="122"/>
      <c r="BM77" s="122"/>
      <c r="BN77" s="122"/>
      <c r="BO77" s="122"/>
      <c r="BP77" s="96"/>
    </row>
    <row r="78" spans="1:68" ht="15" thickBot="1" x14ac:dyDescent="0.35">
      <c r="N78" s="34" t="s">
        <v>302</v>
      </c>
      <c r="O78" s="35" cm="1">
        <f t="array" ref="O78:P78">LINEST(O73:O76,N73:N76,FALSE,FALSE)</f>
        <v>7.2728203867303973</v>
      </c>
      <c r="P78" s="36">
        <v>0</v>
      </c>
      <c r="Q78" s="36"/>
      <c r="R78" s="36"/>
      <c r="S78" s="36"/>
      <c r="T78" s="37"/>
      <c r="AC78" s="85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86"/>
      <c r="AW78" s="95"/>
      <c r="AX78" s="122"/>
      <c r="AY78" s="122"/>
      <c r="AZ78" s="122"/>
      <c r="BA78" s="122"/>
      <c r="BB78" s="122"/>
      <c r="BC78" s="122"/>
      <c r="BD78" s="122"/>
      <c r="BE78" s="122"/>
      <c r="BF78" s="122"/>
      <c r="BG78" s="122"/>
      <c r="BH78" s="122"/>
      <c r="BI78" s="122"/>
      <c r="BJ78" s="122"/>
      <c r="BK78" s="122"/>
      <c r="BL78" s="122"/>
      <c r="BM78" s="122"/>
      <c r="BN78" s="122"/>
      <c r="BO78" s="122"/>
      <c r="BP78" s="96"/>
    </row>
    <row r="79" spans="1:68" x14ac:dyDescent="0.3">
      <c r="AC79" s="85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86"/>
      <c r="AW79" s="95"/>
      <c r="AX79" s="122"/>
      <c r="AY79" s="122"/>
      <c r="AZ79" s="122"/>
      <c r="BA79" s="122"/>
      <c r="BB79" s="122"/>
      <c r="BC79" s="122"/>
      <c r="BD79" s="122"/>
      <c r="BE79" s="122"/>
      <c r="BF79" s="122"/>
      <c r="BG79" s="122"/>
      <c r="BH79" s="122"/>
      <c r="BI79" s="122"/>
      <c r="BJ79" s="122"/>
      <c r="BK79" s="122"/>
      <c r="BL79" s="122"/>
      <c r="BM79" s="122"/>
      <c r="BN79" s="122"/>
      <c r="BO79" s="122"/>
      <c r="BP79" s="96"/>
    </row>
    <row r="80" spans="1:68" ht="15" thickBot="1" x14ac:dyDescent="0.35">
      <c r="AC80" s="85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86"/>
      <c r="AW80" s="95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96"/>
    </row>
    <row r="81" spans="1:68" x14ac:dyDescent="0.3">
      <c r="N81" s="29" t="s">
        <v>276</v>
      </c>
      <c r="O81" s="39">
        <v>21.8</v>
      </c>
      <c r="P81" t="s">
        <v>316</v>
      </c>
      <c r="Q81">
        <f>O81+273.15</f>
        <v>294.95</v>
      </c>
      <c r="AC81" s="85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86"/>
      <c r="AW81" s="95"/>
      <c r="AX81" s="122"/>
      <c r="AY81" s="122"/>
      <c r="AZ81" s="122"/>
      <c r="BA81" s="122"/>
      <c r="BB81" s="122"/>
      <c r="BC81" s="122"/>
      <c r="BD81" s="122"/>
      <c r="BE81" s="122"/>
      <c r="BF81" s="122"/>
      <c r="BG81" s="122"/>
      <c r="BH81" s="122"/>
      <c r="BI81" s="122"/>
      <c r="BJ81" s="122"/>
      <c r="BK81" s="122"/>
      <c r="BL81" s="122"/>
      <c r="BM81" s="122"/>
      <c r="BN81" s="122"/>
      <c r="BO81" s="122"/>
      <c r="BP81" s="96"/>
    </row>
    <row r="82" spans="1:68" x14ac:dyDescent="0.3">
      <c r="N82" s="32" t="s">
        <v>277</v>
      </c>
      <c r="O82" s="40">
        <v>988.3</v>
      </c>
      <c r="AC82" s="85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86"/>
      <c r="AW82" s="95"/>
      <c r="AX82" s="122"/>
      <c r="AY82" s="122"/>
      <c r="AZ82" s="122"/>
      <c r="BA82" s="122"/>
      <c r="BB82" s="122"/>
      <c r="BC82" s="122"/>
      <c r="BD82" s="122"/>
      <c r="BE82" s="122"/>
      <c r="BF82" s="122"/>
      <c r="BG82" s="122"/>
      <c r="BH82" s="122"/>
      <c r="BI82" s="122"/>
      <c r="BJ82" s="122"/>
      <c r="BK82" s="122"/>
      <c r="BL82" s="122"/>
      <c r="BM82" s="122"/>
      <c r="BN82" s="122"/>
      <c r="BO82" s="122"/>
      <c r="BP82" s="96"/>
    </row>
    <row r="83" spans="1:68" ht="15" thickBot="1" x14ac:dyDescent="0.35">
      <c r="N83" s="41" t="s">
        <v>278</v>
      </c>
      <c r="O83" s="42">
        <v>44.1</v>
      </c>
      <c r="AC83" s="85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86"/>
      <c r="AW83" s="95"/>
      <c r="AX83" s="122"/>
      <c r="AY83" s="122"/>
      <c r="AZ83" s="122"/>
      <c r="BA83" s="122"/>
      <c r="BB83" s="122"/>
      <c r="BC83" s="122"/>
      <c r="BD83" s="122"/>
      <c r="BE83" s="122"/>
      <c r="BF83" s="122"/>
      <c r="BG83" s="122"/>
      <c r="BH83" s="122"/>
      <c r="BI83" s="122"/>
      <c r="BJ83" s="122"/>
      <c r="BK83" s="122"/>
      <c r="BL83" s="122"/>
      <c r="BM83" s="122"/>
      <c r="BN83" s="122"/>
      <c r="BO83" s="122"/>
      <c r="BP83" s="96"/>
    </row>
    <row r="84" spans="1:68" x14ac:dyDescent="0.3">
      <c r="AC84" s="85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86"/>
      <c r="AW84" s="95"/>
      <c r="AX84" s="122"/>
      <c r="AY84" s="122"/>
      <c r="AZ84" s="122"/>
      <c r="BA84" s="122"/>
      <c r="BB84" s="122"/>
      <c r="BC84" s="122"/>
      <c r="BD84" s="122"/>
      <c r="BE84" s="122"/>
      <c r="BF84" s="122"/>
      <c r="BG84" s="122"/>
      <c r="BH84" s="122"/>
      <c r="BI84" s="122"/>
      <c r="BJ84" s="122"/>
      <c r="BK84" s="122"/>
      <c r="BL84" s="122"/>
      <c r="BM84" s="122"/>
      <c r="BN84" s="122"/>
      <c r="BO84" s="122"/>
      <c r="BP84" s="96"/>
    </row>
    <row r="85" spans="1:68" x14ac:dyDescent="0.3">
      <c r="AC85" s="85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86"/>
      <c r="AW85" s="95"/>
      <c r="AX85" s="122"/>
      <c r="AY85" s="122"/>
      <c r="AZ85" s="122"/>
      <c r="BA85" s="122"/>
      <c r="BB85" s="122"/>
      <c r="BC85" s="122"/>
      <c r="BD85" s="122"/>
      <c r="BE85" s="122"/>
      <c r="BF85" s="122"/>
      <c r="BG85" s="122"/>
      <c r="BH85" s="122"/>
      <c r="BI85" s="122"/>
      <c r="BJ85" s="122"/>
      <c r="BK85" s="122"/>
      <c r="BL85" s="122"/>
      <c r="BM85" s="122"/>
      <c r="BN85" s="122"/>
      <c r="BO85" s="122"/>
      <c r="BP85" s="96"/>
    </row>
    <row r="86" spans="1:68" x14ac:dyDescent="0.3">
      <c r="C86" s="28"/>
      <c r="AC86" s="85"/>
      <c r="AD86" s="116"/>
      <c r="AE86" s="11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86"/>
      <c r="AW86" s="95"/>
      <c r="AX86" s="122"/>
      <c r="AY86" s="122"/>
      <c r="AZ86" s="122"/>
      <c r="BA86" s="122"/>
      <c r="BB86" s="122"/>
      <c r="BC86" s="122"/>
      <c r="BD86" s="122"/>
      <c r="BE86" s="122"/>
      <c r="BF86" s="122"/>
      <c r="BG86" s="122"/>
      <c r="BH86" s="122"/>
      <c r="BI86" s="122"/>
      <c r="BJ86" s="122"/>
      <c r="BK86" s="122"/>
      <c r="BL86" s="122"/>
      <c r="BM86" s="122"/>
      <c r="BN86" s="122"/>
      <c r="BO86" s="122"/>
      <c r="BP86" s="96"/>
    </row>
    <row r="87" spans="1:68" x14ac:dyDescent="0.3">
      <c r="B87" s="28"/>
      <c r="C87" s="28"/>
      <c r="AC87" s="85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86"/>
      <c r="AW87" s="95"/>
      <c r="AX87" s="122"/>
      <c r="AY87" s="122"/>
      <c r="AZ87" s="122"/>
      <c r="BA87" s="122"/>
      <c r="BB87" s="122"/>
      <c r="BC87" s="122"/>
      <c r="BD87" s="122"/>
      <c r="BE87" s="122"/>
      <c r="BF87" s="122"/>
      <c r="BG87" s="122"/>
      <c r="BH87" s="122"/>
      <c r="BI87" s="122"/>
      <c r="BJ87" s="122"/>
      <c r="BK87" s="122"/>
      <c r="BL87" s="122"/>
      <c r="BM87" s="122"/>
      <c r="BN87" s="122"/>
      <c r="BO87" s="122"/>
      <c r="BP87" s="96"/>
    </row>
    <row r="88" spans="1:68" x14ac:dyDescent="0.3">
      <c r="AC88" s="85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86"/>
      <c r="AW88" s="95"/>
      <c r="AX88" s="122"/>
      <c r="AY88" s="122"/>
      <c r="AZ88" s="122"/>
      <c r="BA88" s="122"/>
      <c r="BB88" s="122"/>
      <c r="BC88" s="122"/>
      <c r="BD88" s="122"/>
      <c r="BE88" s="122"/>
      <c r="BF88" s="122"/>
      <c r="BG88" s="122"/>
      <c r="BH88" s="122"/>
      <c r="BI88" s="122"/>
      <c r="BJ88" s="122"/>
      <c r="BK88" s="122"/>
      <c r="BL88" s="122"/>
      <c r="BM88" s="122"/>
      <c r="BN88" s="122"/>
      <c r="BO88" s="122"/>
      <c r="BP88" s="96"/>
    </row>
    <row r="89" spans="1:68" ht="15" thickBot="1" x14ac:dyDescent="0.35">
      <c r="A89" s="27" t="s">
        <v>280</v>
      </c>
      <c r="B89" s="1"/>
      <c r="C89" s="1"/>
      <c r="D89" s="1"/>
      <c r="E89" s="1"/>
      <c r="F89" s="1"/>
      <c r="AC89" s="85"/>
      <c r="AD89" s="116"/>
      <c r="AE89" s="116"/>
      <c r="AF89" s="116"/>
      <c r="AG89" s="116"/>
      <c r="AH89" s="116"/>
      <c r="AI89" s="116"/>
      <c r="AJ89" s="116"/>
      <c r="AK89" s="116"/>
      <c r="AL89" s="116"/>
      <c r="AM89" s="116"/>
      <c r="AN89" s="116"/>
      <c r="AO89" s="116"/>
      <c r="AP89" s="116"/>
      <c r="AQ89" s="116"/>
      <c r="AR89" s="116"/>
      <c r="AS89" s="116"/>
      <c r="AT89" s="116"/>
      <c r="AU89" s="86"/>
      <c r="AW89" s="95"/>
      <c r="AX89" s="122"/>
      <c r="AY89" s="122"/>
      <c r="AZ89" s="122"/>
      <c r="BA89" s="122"/>
      <c r="BB89" s="122"/>
      <c r="BC89" s="122"/>
      <c r="BD89" s="122"/>
      <c r="BE89" s="122"/>
      <c r="BF89" s="122"/>
      <c r="BG89" s="122"/>
      <c r="BH89" s="122"/>
      <c r="BI89" s="122"/>
      <c r="BJ89" s="122"/>
      <c r="BK89" s="122"/>
      <c r="BL89" s="122"/>
      <c r="BM89" s="122"/>
      <c r="BN89" s="122"/>
      <c r="BO89" s="122"/>
      <c r="BP89" s="96"/>
    </row>
    <row r="90" spans="1:68" ht="15" thickBot="1" x14ac:dyDescent="0.35">
      <c r="A90" s="50" t="s">
        <v>283</v>
      </c>
      <c r="B90" s="51" t="s">
        <v>284</v>
      </c>
      <c r="C90" s="51" t="s">
        <v>280</v>
      </c>
      <c r="D90" s="118" t="s">
        <v>312</v>
      </c>
      <c r="E90" s="51" t="s">
        <v>266</v>
      </c>
      <c r="F90" s="51" t="s">
        <v>267</v>
      </c>
      <c r="G90" s="51" t="s">
        <v>297</v>
      </c>
      <c r="H90" s="51" t="s">
        <v>299</v>
      </c>
      <c r="I90" s="51" t="s">
        <v>300</v>
      </c>
      <c r="J90" s="52" t="s">
        <v>297</v>
      </c>
      <c r="O90" s="29" t="s">
        <v>263</v>
      </c>
      <c r="P90" s="30" t="s">
        <v>264</v>
      </c>
      <c r="Q90" s="30"/>
      <c r="R90" s="31"/>
      <c r="AC90" s="85"/>
      <c r="AD90" s="116"/>
      <c r="AE90" s="116"/>
      <c r="AF90" s="116"/>
      <c r="AG90" s="116"/>
      <c r="AH90" s="116"/>
      <c r="AI90" s="116"/>
      <c r="AJ90" s="116"/>
      <c r="AK90" s="116"/>
      <c r="AL90" s="116"/>
      <c r="AM90" s="116"/>
      <c r="AN90" s="116"/>
      <c r="AO90" s="116"/>
      <c r="AP90" s="116"/>
      <c r="AQ90" s="116"/>
      <c r="AR90" s="116"/>
      <c r="AS90" s="116"/>
      <c r="AT90" s="116"/>
      <c r="AU90" s="86"/>
      <c r="AW90" s="95"/>
      <c r="AX90" s="122"/>
      <c r="AY90" s="122"/>
      <c r="AZ90" s="122"/>
      <c r="BA90" s="122"/>
      <c r="BB90" s="122"/>
      <c r="BC90" s="122"/>
      <c r="BD90" s="122"/>
      <c r="BE90" s="122"/>
      <c r="BF90" s="122"/>
      <c r="BG90" s="122"/>
      <c r="BH90" s="122"/>
      <c r="BI90" s="122"/>
      <c r="BJ90" s="122"/>
      <c r="BK90" s="122"/>
      <c r="BL90" s="122"/>
      <c r="BM90" s="122"/>
      <c r="BN90" s="122"/>
      <c r="BO90" s="122"/>
      <c r="BP90" s="96"/>
    </row>
    <row r="91" spans="1:68" x14ac:dyDescent="0.3">
      <c r="A91" s="32" t="s">
        <v>156</v>
      </c>
      <c r="B91" s="2">
        <v>45640.365972222222</v>
      </c>
      <c r="C91" s="12">
        <f>(B91-B8)*24</f>
        <v>113.98333333327901</v>
      </c>
      <c r="E91">
        <v>703.84900000000005</v>
      </c>
      <c r="F91">
        <f>E91/$O$103</f>
        <v>644.58191150064613</v>
      </c>
      <c r="G91">
        <f>F91-F49</f>
        <v>249.41609155052561</v>
      </c>
      <c r="H91">
        <v>7.3380000000000001</v>
      </c>
      <c r="I91">
        <f>H91/$O$120</f>
        <v>1.018342889767716</v>
      </c>
      <c r="J91" s="33">
        <f>I91-I49</f>
        <v>0.52252423782089819</v>
      </c>
      <c r="O91" s="32">
        <v>895</v>
      </c>
      <c r="P91" s="28">
        <v>0.34166666666666667</v>
      </c>
      <c r="Q91" s="28">
        <v>0.34652777777777777</v>
      </c>
      <c r="R91" s="117">
        <v>0.40625</v>
      </c>
      <c r="S91" s="28"/>
      <c r="AC91" s="85"/>
      <c r="AD91" s="116"/>
      <c r="AE91" s="116"/>
      <c r="AF91" s="116"/>
      <c r="AG91" s="116"/>
      <c r="AH91" s="116"/>
      <c r="AI91" s="116"/>
      <c r="AJ91" s="116"/>
      <c r="AK91" s="116"/>
      <c r="AL91" s="116"/>
      <c r="AM91" s="116"/>
      <c r="AN91" s="116"/>
      <c r="AO91" s="116"/>
      <c r="AP91" s="116"/>
      <c r="AQ91" s="116"/>
      <c r="AR91" s="116"/>
      <c r="AS91" s="116"/>
      <c r="AT91" s="116"/>
      <c r="AU91" s="86"/>
      <c r="AW91" s="95"/>
      <c r="AX91" s="122"/>
      <c r="AY91" s="122"/>
      <c r="AZ91" s="122"/>
      <c r="BA91" s="122"/>
      <c r="BB91" s="122"/>
      <c r="BC91" s="122"/>
      <c r="BD91" s="122"/>
      <c r="BE91" s="122"/>
      <c r="BF91" s="122"/>
      <c r="BG91" s="122"/>
      <c r="BH91" s="122"/>
      <c r="BI91" s="122"/>
      <c r="BJ91" s="122"/>
      <c r="BK91" s="122"/>
      <c r="BL91" s="122"/>
      <c r="BM91" s="122"/>
      <c r="BN91" s="122"/>
      <c r="BO91" s="122"/>
      <c r="BP91" s="96"/>
    </row>
    <row r="92" spans="1:68" x14ac:dyDescent="0.3">
      <c r="A92" s="32" t="s">
        <v>157</v>
      </c>
      <c r="B92" s="2">
        <v>45640.370138888888</v>
      </c>
      <c r="C92" s="12">
        <f t="shared" ref="C92:C118" si="7">(B92-B9)*24</f>
        <v>114</v>
      </c>
      <c r="E92">
        <v>447.72899999999998</v>
      </c>
      <c r="F92">
        <f t="shared" ref="F92:F118" si="8">E92/$O$103</f>
        <v>410.02830813750217</v>
      </c>
      <c r="G92">
        <f t="shared" ref="G92:G118" si="9">F92-F50</f>
        <v>143.44399098525611</v>
      </c>
      <c r="H92">
        <v>1.599</v>
      </c>
      <c r="I92">
        <f t="shared" ref="I92:I118" si="10">H92/$O$120</f>
        <v>0.22190382675641562</v>
      </c>
      <c r="J92" s="33">
        <f>I92-I50</f>
        <v>7.1618250889008001E-2</v>
      </c>
      <c r="O92" s="32">
        <v>3000</v>
      </c>
      <c r="P92" s="28">
        <v>0.35</v>
      </c>
      <c r="Q92" s="28">
        <v>0.35347222222222224</v>
      </c>
      <c r="R92" s="117">
        <v>0.44513888888888886</v>
      </c>
      <c r="S92" s="28"/>
      <c r="AC92" s="85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  <c r="AU92" s="86"/>
      <c r="AW92" s="95"/>
      <c r="AX92" s="122"/>
      <c r="AY92" s="122"/>
      <c r="AZ92" s="122"/>
      <c r="BA92" s="122"/>
      <c r="BB92" s="122"/>
      <c r="BC92" s="122"/>
      <c r="BD92" s="122"/>
      <c r="BE92" s="122"/>
      <c r="BF92" s="122"/>
      <c r="BG92" s="122"/>
      <c r="BH92" s="122"/>
      <c r="BI92" s="122"/>
      <c r="BJ92" s="122"/>
      <c r="BK92" s="122"/>
      <c r="BL92" s="122"/>
      <c r="BM92" s="122"/>
      <c r="BN92" s="122"/>
      <c r="BO92" s="122"/>
      <c r="BP92" s="96"/>
    </row>
    <row r="93" spans="1:68" ht="15" thickBot="1" x14ac:dyDescent="0.35">
      <c r="A93" s="32" t="s">
        <v>158</v>
      </c>
      <c r="B93" s="2">
        <v>45640.373611111114</v>
      </c>
      <c r="C93" s="12">
        <f t="shared" si="7"/>
        <v>114</v>
      </c>
      <c r="E93">
        <v>553.55700000000002</v>
      </c>
      <c r="F93">
        <f t="shared" si="8"/>
        <v>506.94513906329786</v>
      </c>
      <c r="G93">
        <f t="shared" si="9"/>
        <v>141.11678209446222</v>
      </c>
      <c r="H93">
        <v>2.242</v>
      </c>
      <c r="I93">
        <f t="shared" si="10"/>
        <v>0.3111371979911719</v>
      </c>
      <c r="J93" s="33">
        <f t="shared" ref="J93:J118" si="11">I93-I51</f>
        <v>0.13458945836285405</v>
      </c>
      <c r="O93" s="41">
        <v>7981</v>
      </c>
      <c r="P93" s="119">
        <v>0.3576388888888889</v>
      </c>
      <c r="Q93" s="119">
        <v>0.36180555555555555</v>
      </c>
      <c r="R93" s="120">
        <v>0.47638888888888886</v>
      </c>
      <c r="S93" s="28"/>
      <c r="AC93" s="85"/>
      <c r="AD93" s="116"/>
      <c r="AE93" s="116"/>
      <c r="AF93" s="116"/>
      <c r="AG93" s="116"/>
      <c r="AH93" s="116"/>
      <c r="AI93" s="116"/>
      <c r="AJ93" s="116"/>
      <c r="AK93" s="116"/>
      <c r="AL93" s="116"/>
      <c r="AM93" s="116"/>
      <c r="AN93" s="116"/>
      <c r="AO93" s="116"/>
      <c r="AP93" s="116"/>
      <c r="AQ93" s="116"/>
      <c r="AR93" s="116"/>
      <c r="AS93" s="116"/>
      <c r="AT93" s="116"/>
      <c r="AU93" s="86"/>
      <c r="AW93" s="95"/>
      <c r="AX93" s="122"/>
      <c r="AY93" s="122"/>
      <c r="AZ93" s="122"/>
      <c r="BA93" s="122"/>
      <c r="BB93" s="122"/>
      <c r="BC93" s="122"/>
      <c r="BD93" s="122"/>
      <c r="BE93" s="122"/>
      <c r="BF93" s="122"/>
      <c r="BG93" s="122"/>
      <c r="BH93" s="122"/>
      <c r="BI93" s="122"/>
      <c r="BJ93" s="122"/>
      <c r="BK93" s="122"/>
      <c r="BL93" s="122"/>
      <c r="BM93" s="122"/>
      <c r="BN93" s="122"/>
      <c r="BO93" s="122"/>
      <c r="BP93" s="96"/>
    </row>
    <row r="94" spans="1:68" x14ac:dyDescent="0.3">
      <c r="A94" s="32" t="s">
        <v>159</v>
      </c>
      <c r="B94" s="2">
        <v>45640.377083333333</v>
      </c>
      <c r="C94" s="12">
        <f t="shared" si="7"/>
        <v>114</v>
      </c>
      <c r="E94">
        <v>901.96199999999999</v>
      </c>
      <c r="F94">
        <f t="shared" si="8"/>
        <v>826.01295172820551</v>
      </c>
      <c r="G94">
        <f t="shared" si="9"/>
        <v>311.36473690639912</v>
      </c>
      <c r="H94">
        <v>1.6014999999999999</v>
      </c>
      <c r="I94">
        <f t="shared" si="10"/>
        <v>0.2222507683242024</v>
      </c>
      <c r="J94" s="33">
        <f t="shared" si="11"/>
        <v>3.7934378159280246E-2</v>
      </c>
      <c r="AC94" s="85"/>
      <c r="AD94" s="116"/>
      <c r="AE94" s="116"/>
      <c r="AF94" s="116"/>
      <c r="AG94" s="116"/>
      <c r="AH94" s="116"/>
      <c r="AI94" s="116"/>
      <c r="AJ94" s="116"/>
      <c r="AK94" s="116"/>
      <c r="AL94" s="116"/>
      <c r="AM94" s="116"/>
      <c r="AN94" s="116"/>
      <c r="AO94" s="116"/>
      <c r="AP94" s="116"/>
      <c r="AQ94" s="116"/>
      <c r="AR94" s="116"/>
      <c r="AS94" s="116"/>
      <c r="AT94" s="116"/>
      <c r="AU94" s="86"/>
      <c r="AW94" s="95"/>
      <c r="AX94" s="122"/>
      <c r="AY94" s="122"/>
      <c r="AZ94" s="122"/>
      <c r="BA94" s="122"/>
      <c r="BB94" s="122"/>
      <c r="BC94" s="122"/>
      <c r="BD94" s="122"/>
      <c r="BE94" s="122"/>
      <c r="BF94" s="122"/>
      <c r="BG94" s="122"/>
      <c r="BH94" s="122"/>
      <c r="BI94" s="122"/>
      <c r="BJ94" s="122"/>
      <c r="BK94" s="122"/>
      <c r="BL94" s="122"/>
      <c r="BM94" s="122"/>
      <c r="BN94" s="122"/>
      <c r="BO94" s="122"/>
      <c r="BP94" s="96"/>
    </row>
    <row r="95" spans="1:68" x14ac:dyDescent="0.3">
      <c r="A95" s="32" t="s">
        <v>160</v>
      </c>
      <c r="B95" s="2">
        <v>45640.379861111112</v>
      </c>
      <c r="C95" s="12">
        <f t="shared" si="7"/>
        <v>114</v>
      </c>
      <c r="E95">
        <v>841.17399999999998</v>
      </c>
      <c r="F95">
        <f t="shared" si="8"/>
        <v>770.34356065668123</v>
      </c>
      <c r="G95">
        <f t="shared" si="9"/>
        <v>241.99346712977524</v>
      </c>
      <c r="H95">
        <v>0.94699999999999995</v>
      </c>
      <c r="I95">
        <f t="shared" si="10"/>
        <v>0.13142146587762701</v>
      </c>
      <c r="J95" s="33">
        <f t="shared" si="11"/>
        <v>-3.6705545155367447E-3</v>
      </c>
      <c r="AC95" s="85"/>
      <c r="AD95" s="116"/>
      <c r="AE95" s="116"/>
      <c r="AF95" s="116"/>
      <c r="AG95" s="116"/>
      <c r="AH95" s="116"/>
      <c r="AI95" s="116"/>
      <c r="AJ95" s="116"/>
      <c r="AK95" s="116"/>
      <c r="AL95" s="116"/>
      <c r="AM95" s="116"/>
      <c r="AN95" s="116"/>
      <c r="AO95" s="116"/>
      <c r="AP95" s="116"/>
      <c r="AQ95" s="116"/>
      <c r="AR95" s="116"/>
      <c r="AS95" s="116"/>
      <c r="AT95" s="116"/>
      <c r="AU95" s="86"/>
      <c r="AW95" s="95"/>
      <c r="AX95" s="122"/>
      <c r="AY95" s="122"/>
      <c r="AZ95" s="122"/>
      <c r="BA95" s="122"/>
      <c r="BB95" s="122"/>
      <c r="BC95" s="122"/>
      <c r="BD95" s="122"/>
      <c r="BE95" s="122"/>
      <c r="BF95" s="122"/>
      <c r="BG95" s="122"/>
      <c r="BH95" s="122"/>
      <c r="BI95" s="122"/>
      <c r="BJ95" s="122"/>
      <c r="BK95" s="122"/>
      <c r="BL95" s="122"/>
      <c r="BM95" s="122"/>
      <c r="BN95" s="122"/>
      <c r="BO95" s="122"/>
      <c r="BP95" s="96"/>
    </row>
    <row r="96" spans="1:68" ht="15" thickBot="1" x14ac:dyDescent="0.35">
      <c r="A96" s="32" t="s">
        <v>161</v>
      </c>
      <c r="B96" s="2">
        <v>45640.472916666666</v>
      </c>
      <c r="C96" s="12">
        <f t="shared" si="7"/>
        <v>114.34999999991851</v>
      </c>
      <c r="E96">
        <v>681.41700000000003</v>
      </c>
      <c r="F96">
        <f>E96/$O$103</f>
        <v>624.03878159809244</v>
      </c>
      <c r="G96">
        <f t="shared" si="9"/>
        <v>218.87497332371544</v>
      </c>
      <c r="H96">
        <v>0.86799999999999999</v>
      </c>
      <c r="I96">
        <f t="shared" si="10"/>
        <v>0.12045811233556521</v>
      </c>
      <c r="J96" s="33">
        <f t="shared" si="11"/>
        <v>4.167162105283459E-2</v>
      </c>
      <c r="N96" t="s">
        <v>268</v>
      </c>
      <c r="AC96" s="85"/>
      <c r="AD96" s="116"/>
      <c r="AE96" s="116"/>
      <c r="AF96" s="116"/>
      <c r="AG96" s="116"/>
      <c r="AH96" s="116"/>
      <c r="AI96" s="116"/>
      <c r="AJ96" s="116"/>
      <c r="AK96" s="116"/>
      <c r="AL96" s="116"/>
      <c r="AM96" s="116"/>
      <c r="AN96" s="116"/>
      <c r="AO96" s="116"/>
      <c r="AP96" s="116"/>
      <c r="AQ96" s="116"/>
      <c r="AR96" s="116"/>
      <c r="AS96" s="116"/>
      <c r="AT96" s="116"/>
      <c r="AU96" s="86"/>
      <c r="AW96" s="95"/>
      <c r="AX96" s="122"/>
      <c r="AY96" s="122"/>
      <c r="AZ96" s="122"/>
      <c r="BA96" s="122"/>
      <c r="BB96" s="122"/>
      <c r="BC96" s="122"/>
      <c r="BD96" s="122"/>
      <c r="BE96" s="122"/>
      <c r="BF96" s="122"/>
      <c r="BG96" s="122"/>
      <c r="BH96" s="122"/>
      <c r="BI96" s="122"/>
      <c r="BJ96" s="122"/>
      <c r="BK96" s="122"/>
      <c r="BL96" s="122"/>
      <c r="BM96" s="122"/>
      <c r="BN96" s="122"/>
      <c r="BO96" s="122"/>
      <c r="BP96" s="96"/>
    </row>
    <row r="97" spans="1:68" x14ac:dyDescent="0.3">
      <c r="A97" s="32" t="s">
        <v>162</v>
      </c>
      <c r="B97" s="2">
        <v>45640.383333333331</v>
      </c>
      <c r="C97" s="12">
        <f t="shared" si="7"/>
        <v>114</v>
      </c>
      <c r="E97">
        <v>167.55199999999999</v>
      </c>
      <c r="F97">
        <f>E97/$O$103</f>
        <v>153.44340680423818</v>
      </c>
      <c r="G97">
        <f t="shared" si="9"/>
        <v>48.058630231634552</v>
      </c>
      <c r="H97">
        <v>2.2360000000000002</v>
      </c>
      <c r="I97">
        <f t="shared" si="10"/>
        <v>0.3103045382284837</v>
      </c>
      <c r="J97" s="33">
        <f t="shared" si="11"/>
        <v>0.1094196101934585</v>
      </c>
      <c r="N97" s="29" t="s">
        <v>263</v>
      </c>
      <c r="O97" s="30" t="s">
        <v>269</v>
      </c>
      <c r="P97" s="30" t="s">
        <v>270</v>
      </c>
      <c r="Q97" s="30" t="s">
        <v>271</v>
      </c>
      <c r="R97" s="30" t="s">
        <v>272</v>
      </c>
      <c r="S97" s="30" t="s">
        <v>273</v>
      </c>
      <c r="T97" s="31" t="s">
        <v>274</v>
      </c>
      <c r="AC97" s="85"/>
      <c r="AD97" s="116"/>
      <c r="AE97" s="116"/>
      <c r="AF97" s="116"/>
      <c r="AG97" s="116"/>
      <c r="AH97" s="116"/>
      <c r="AI97" s="116"/>
      <c r="AJ97" s="116"/>
      <c r="AK97" s="116"/>
      <c r="AL97" s="116"/>
      <c r="AM97" s="116"/>
      <c r="AN97" s="116"/>
      <c r="AO97" s="116"/>
      <c r="AP97" s="116"/>
      <c r="AQ97" s="116"/>
      <c r="AR97" s="116"/>
      <c r="AS97" s="116"/>
      <c r="AT97" s="116"/>
      <c r="AU97" s="86"/>
      <c r="AW97" s="95"/>
      <c r="AX97" s="122"/>
      <c r="AY97" s="122"/>
      <c r="AZ97" s="122"/>
      <c r="BA97" s="122"/>
      <c r="BB97" s="122"/>
      <c r="BC97" s="122"/>
      <c r="BD97" s="122"/>
      <c r="BE97" s="122"/>
      <c r="BF97" s="122"/>
      <c r="BG97" s="122"/>
      <c r="BH97" s="122"/>
      <c r="BI97" s="122"/>
      <c r="BJ97" s="122"/>
      <c r="BK97" s="122"/>
      <c r="BL97" s="122"/>
      <c r="BM97" s="122"/>
      <c r="BN97" s="122"/>
      <c r="BO97" s="122"/>
      <c r="BP97" s="96"/>
    </row>
    <row r="98" spans="1:68" x14ac:dyDescent="0.3">
      <c r="A98" s="32" t="s">
        <v>163</v>
      </c>
      <c r="B98" s="2">
        <v>45640.396527777775</v>
      </c>
      <c r="C98" s="12">
        <f t="shared" si="7"/>
        <v>114.24999999994179</v>
      </c>
      <c r="E98">
        <v>293.12400000000002</v>
      </c>
      <c r="F98">
        <f t="shared" si="8"/>
        <v>268.44170869989927</v>
      </c>
      <c r="G98">
        <f t="shared" si="9"/>
        <v>92.949582759591578</v>
      </c>
      <c r="H98">
        <v>1.02</v>
      </c>
      <c r="I98">
        <f t="shared" si="10"/>
        <v>0.1415521596570006</v>
      </c>
      <c r="J98" s="33">
        <f t="shared" si="11"/>
        <v>4.1315942998866886E-2</v>
      </c>
      <c r="N98" s="32">
        <v>0</v>
      </c>
      <c r="O98">
        <v>0</v>
      </c>
      <c r="T98" s="33"/>
      <c r="AC98" s="85"/>
      <c r="AD98" s="116"/>
      <c r="AE98" s="116"/>
      <c r="AF98" s="116"/>
      <c r="AG98" s="116"/>
      <c r="AH98" s="116"/>
      <c r="AI98" s="116"/>
      <c r="AJ98" s="116"/>
      <c r="AK98" s="116"/>
      <c r="AL98" s="116"/>
      <c r="AM98" s="116"/>
      <c r="AN98" s="116"/>
      <c r="AO98" s="116"/>
      <c r="AP98" s="116"/>
      <c r="AQ98" s="116"/>
      <c r="AR98" s="116"/>
      <c r="AS98" s="116"/>
      <c r="AT98" s="116"/>
      <c r="AU98" s="86"/>
      <c r="AW98" s="95"/>
      <c r="AX98" s="122"/>
      <c r="AY98" s="122"/>
      <c r="AZ98" s="122"/>
      <c r="BA98" s="122"/>
      <c r="BB98" s="122"/>
      <c r="BC98" s="122"/>
      <c r="BD98" s="122"/>
      <c r="BE98" s="122"/>
      <c r="BF98" s="122"/>
      <c r="BG98" s="122"/>
      <c r="BH98" s="122"/>
      <c r="BI98" s="122"/>
      <c r="BJ98" s="122"/>
      <c r="BK98" s="122"/>
      <c r="BL98" s="122"/>
      <c r="BM98" s="122"/>
      <c r="BN98" s="122"/>
      <c r="BO98" s="122"/>
      <c r="BP98" s="96"/>
    </row>
    <row r="99" spans="1:68" x14ac:dyDescent="0.3">
      <c r="A99" s="32" t="s">
        <v>164</v>
      </c>
      <c r="B99" s="2">
        <v>45640.4</v>
      </c>
      <c r="C99" s="12">
        <f t="shared" si="7"/>
        <v>114.25000000011642</v>
      </c>
      <c r="E99">
        <v>445.11149999999998</v>
      </c>
      <c r="F99">
        <f t="shared" si="8"/>
        <v>407.63121280405284</v>
      </c>
      <c r="G99">
        <f t="shared" si="9"/>
        <v>139.11947934077233</v>
      </c>
      <c r="H99">
        <v>0.57250000000000001</v>
      </c>
      <c r="I99">
        <f t="shared" si="10"/>
        <v>7.9449619023169452E-2</v>
      </c>
      <c r="J99" s="33">
        <f t="shared" si="11"/>
        <v>-1.2261706780637399E-2</v>
      </c>
      <c r="N99" s="32">
        <v>895</v>
      </c>
      <c r="O99">
        <f>AVERAGE(P99:Q99)</f>
        <v>867.78375000000005</v>
      </c>
      <c r="P99">
        <v>872.16049999999996</v>
      </c>
      <c r="Q99">
        <v>863.40700000000004</v>
      </c>
      <c r="R99" s="4">
        <v>806.63900000000001</v>
      </c>
      <c r="T99" s="33"/>
      <c r="AC99" s="85"/>
      <c r="AD99" s="116"/>
      <c r="AE99" s="116"/>
      <c r="AF99" s="116"/>
      <c r="AG99" s="116"/>
      <c r="AH99" s="116"/>
      <c r="AI99" s="116"/>
      <c r="AJ99" s="116"/>
      <c r="AK99" s="116"/>
      <c r="AL99" s="116"/>
      <c r="AM99" s="116"/>
      <c r="AN99" s="116"/>
      <c r="AO99" s="116"/>
      <c r="AP99" s="116"/>
      <c r="AQ99" s="116"/>
      <c r="AR99" s="116"/>
      <c r="AS99" s="116"/>
      <c r="AT99" s="116"/>
      <c r="AU99" s="86"/>
      <c r="AW99" s="95"/>
      <c r="AX99" s="122"/>
      <c r="AY99" s="122"/>
      <c r="AZ99" s="122"/>
      <c r="BA99" s="122"/>
      <c r="BB99" s="122"/>
      <c r="BC99" s="122"/>
      <c r="BD99" s="122"/>
      <c r="BE99" s="122"/>
      <c r="BF99" s="122"/>
      <c r="BG99" s="122"/>
      <c r="BH99" s="122"/>
      <c r="BI99" s="122"/>
      <c r="BJ99" s="122"/>
      <c r="BK99" s="122"/>
      <c r="BL99" s="122"/>
      <c r="BM99" s="122"/>
      <c r="BN99" s="122"/>
      <c r="BO99" s="122"/>
      <c r="BP99" s="96"/>
    </row>
    <row r="100" spans="1:68" x14ac:dyDescent="0.3">
      <c r="A100" s="32" t="s">
        <v>165</v>
      </c>
      <c r="B100" s="2">
        <v>45640.402777777781</v>
      </c>
      <c r="C100" s="12">
        <f t="shared" si="7"/>
        <v>114.25000000011642</v>
      </c>
      <c r="E100">
        <v>1678.424</v>
      </c>
      <c r="F100">
        <f t="shared" si="8"/>
        <v>1537.0935388535897</v>
      </c>
      <c r="G100">
        <f t="shared" si="9"/>
        <v>615.13252397688052</v>
      </c>
      <c r="H100">
        <v>2.0009999999999999</v>
      </c>
      <c r="I100">
        <f t="shared" si="10"/>
        <v>0.27769203085652761</v>
      </c>
      <c r="J100" s="33">
        <f t="shared" si="11"/>
        <v>3.8445093977031469E-2</v>
      </c>
      <c r="N100" s="32">
        <v>3000</v>
      </c>
      <c r="O100">
        <f t="shared" ref="O100:O101" si="12">AVERAGE(P100:R100)</f>
        <v>3231.2345</v>
      </c>
      <c r="P100">
        <v>3229.0515</v>
      </c>
      <c r="Q100">
        <v>3315.0250000000001</v>
      </c>
      <c r="R100">
        <v>3149.627</v>
      </c>
      <c r="T100" s="33"/>
      <c r="AC100" s="85"/>
      <c r="AD100" s="116"/>
      <c r="AE100" s="116"/>
      <c r="AF100" s="116"/>
      <c r="AG100" s="116"/>
      <c r="AH100" s="116"/>
      <c r="AI100" s="116"/>
      <c r="AJ100" s="116"/>
      <c r="AK100" s="116"/>
      <c r="AL100" s="116"/>
      <c r="AM100" s="116"/>
      <c r="AN100" s="116"/>
      <c r="AO100" s="116"/>
      <c r="AP100" s="116"/>
      <c r="AQ100" s="116"/>
      <c r="AR100" s="116"/>
      <c r="AS100" s="116"/>
      <c r="AT100" s="116"/>
      <c r="AU100" s="86"/>
      <c r="AW100" s="95"/>
      <c r="AX100" s="122"/>
      <c r="AY100" s="122"/>
      <c r="AZ100" s="122"/>
      <c r="BA100" s="122"/>
      <c r="BB100" s="122"/>
      <c r="BC100" s="122"/>
      <c r="BD100" s="122"/>
      <c r="BE100" s="122"/>
      <c r="BF100" s="122"/>
      <c r="BG100" s="122"/>
      <c r="BH100" s="122"/>
      <c r="BI100" s="122"/>
      <c r="BJ100" s="122"/>
      <c r="BK100" s="122"/>
      <c r="BL100" s="122"/>
      <c r="BM100" s="122"/>
      <c r="BN100" s="122"/>
      <c r="BO100" s="122"/>
      <c r="BP100" s="96"/>
    </row>
    <row r="101" spans="1:68" x14ac:dyDescent="0.3">
      <c r="A101" s="32" t="s">
        <v>166</v>
      </c>
      <c r="B101" s="2">
        <v>45640.409722222219</v>
      </c>
      <c r="C101" s="12">
        <f t="shared" si="7"/>
        <v>114.26666666666279</v>
      </c>
      <c r="E101">
        <v>425.74599999999998</v>
      </c>
      <c r="F101">
        <f t="shared" si="8"/>
        <v>389.89637051946374</v>
      </c>
      <c r="G101">
        <f t="shared" si="9"/>
        <v>133.97767083535649</v>
      </c>
      <c r="H101">
        <v>0</v>
      </c>
      <c r="I101">
        <f t="shared" si="10"/>
        <v>0</v>
      </c>
      <c r="J101" s="33">
        <f t="shared" si="11"/>
        <v>-0.10064871137689148</v>
      </c>
      <c r="N101" s="32">
        <v>7981</v>
      </c>
      <c r="O101">
        <f t="shared" si="12"/>
        <v>8743.8726666666662</v>
      </c>
      <c r="P101">
        <v>8845.56</v>
      </c>
      <c r="Q101">
        <v>8732.7559999999994</v>
      </c>
      <c r="R101">
        <v>8653.3019999999997</v>
      </c>
      <c r="T101" s="33"/>
      <c r="AC101" s="85"/>
      <c r="AD101" s="116"/>
      <c r="AE101" s="116"/>
      <c r="AF101" s="116"/>
      <c r="AG101" s="116"/>
      <c r="AH101" s="116"/>
      <c r="AI101" s="116"/>
      <c r="AJ101" s="116"/>
      <c r="AK101" s="116"/>
      <c r="AL101" s="116"/>
      <c r="AM101" s="116"/>
      <c r="AN101" s="116"/>
      <c r="AO101" s="116"/>
      <c r="AP101" s="116"/>
      <c r="AQ101" s="116"/>
      <c r="AR101" s="116"/>
      <c r="AS101" s="116"/>
      <c r="AT101" s="116"/>
      <c r="AU101" s="86"/>
      <c r="AW101" s="95"/>
      <c r="AX101" s="122"/>
      <c r="AY101" s="122"/>
      <c r="AZ101" s="122"/>
      <c r="BA101" s="122"/>
      <c r="BB101" s="122"/>
      <c r="BC101" s="122"/>
      <c r="BD101" s="122"/>
      <c r="BE101" s="122"/>
      <c r="BF101" s="122"/>
      <c r="BG101" s="122"/>
      <c r="BH101" s="122"/>
      <c r="BI101" s="122"/>
      <c r="BJ101" s="122"/>
      <c r="BK101" s="122"/>
      <c r="BL101" s="122"/>
      <c r="BM101" s="122"/>
      <c r="BN101" s="122"/>
      <c r="BO101" s="122"/>
      <c r="BP101" s="96"/>
    </row>
    <row r="102" spans="1:68" ht="15" thickBot="1" x14ac:dyDescent="0.35">
      <c r="A102" s="32" t="s">
        <v>167</v>
      </c>
      <c r="B102" s="2">
        <v>45640.412499999999</v>
      </c>
      <c r="C102" s="12">
        <f t="shared" si="7"/>
        <v>114.26666666666279</v>
      </c>
      <c r="E102">
        <v>968.83600000000001</v>
      </c>
      <c r="F102">
        <f t="shared" si="8"/>
        <v>887.25587563616614</v>
      </c>
      <c r="G102">
        <f t="shared" si="9"/>
        <v>213.91076194580694</v>
      </c>
      <c r="H102">
        <v>1.5449999999999999</v>
      </c>
      <c r="I102">
        <f t="shared" si="10"/>
        <v>0.21440988889222148</v>
      </c>
      <c r="J102" s="33">
        <f t="shared" si="11"/>
        <v>9.0523975025309983E-2</v>
      </c>
      <c r="N102" s="32"/>
      <c r="T102" s="33"/>
      <c r="AC102" s="85"/>
      <c r="AD102" s="116"/>
      <c r="AE102" s="116"/>
      <c r="AF102" s="116"/>
      <c r="AG102" s="116"/>
      <c r="AH102" s="116"/>
      <c r="AI102" s="116"/>
      <c r="AJ102" s="116"/>
      <c r="AK102" s="116"/>
      <c r="AL102" s="116"/>
      <c r="AM102" s="116"/>
      <c r="AN102" s="116"/>
      <c r="AO102" s="116"/>
      <c r="AP102" s="116"/>
      <c r="AQ102" s="116"/>
      <c r="AR102" s="116"/>
      <c r="AS102" s="116"/>
      <c r="AT102" s="116"/>
      <c r="AU102" s="86"/>
      <c r="AW102" s="95"/>
      <c r="AX102" s="122"/>
      <c r="AY102" s="122"/>
      <c r="AZ102" s="122"/>
      <c r="BA102" s="122"/>
      <c r="BB102" s="122"/>
      <c r="BC102" s="122"/>
      <c r="BD102" s="122"/>
      <c r="BE102" s="122"/>
      <c r="BF102" s="122"/>
      <c r="BG102" s="122"/>
      <c r="BH102" s="122"/>
      <c r="BI102" s="122"/>
      <c r="BJ102" s="122"/>
      <c r="BK102" s="122"/>
      <c r="BL102" s="122"/>
      <c r="BM102" s="122"/>
      <c r="BN102" s="122"/>
      <c r="BO102" s="122"/>
      <c r="BP102" s="96"/>
    </row>
    <row r="103" spans="1:68" ht="15" thickBot="1" x14ac:dyDescent="0.35">
      <c r="A103" s="32" t="s">
        <v>168</v>
      </c>
      <c r="B103" s="2">
        <v>45640.415972222225</v>
      </c>
      <c r="C103" s="12">
        <f t="shared" si="7"/>
        <v>114.23333333339542</v>
      </c>
      <c r="E103">
        <v>470.52249999999998</v>
      </c>
      <c r="F103">
        <f t="shared" si="8"/>
        <v>430.90249819785595</v>
      </c>
      <c r="G103">
        <f t="shared" si="9"/>
        <v>156.20019768738757</v>
      </c>
      <c r="H103">
        <v>1.3634999999999999</v>
      </c>
      <c r="I103">
        <f t="shared" si="10"/>
        <v>0.18922193107090227</v>
      </c>
      <c r="J103" s="33">
        <f t="shared" si="11"/>
        <v>8.6923240818979786E-2</v>
      </c>
      <c r="N103" s="34" t="s">
        <v>275</v>
      </c>
      <c r="O103" s="35" cm="1">
        <f t="array" ref="O103:P103">LINEST(O98:O101,N98:N101,FALSE,FALSE)</f>
        <v>1.0919465586016441</v>
      </c>
      <c r="P103" s="36">
        <v>0</v>
      </c>
      <c r="Q103" s="36"/>
      <c r="R103" s="36"/>
      <c r="S103" s="36"/>
      <c r="T103" s="37"/>
      <c r="AC103" s="85"/>
      <c r="AD103" s="116"/>
      <c r="AE103" s="116"/>
      <c r="AF103" s="116"/>
      <c r="AG103" s="116"/>
      <c r="AH103" s="116"/>
      <c r="AI103" s="116"/>
      <c r="AJ103" s="116"/>
      <c r="AK103" s="116"/>
      <c r="AL103" s="116"/>
      <c r="AM103" s="116"/>
      <c r="AN103" s="116"/>
      <c r="AO103" s="116"/>
      <c r="AP103" s="116"/>
      <c r="AQ103" s="116"/>
      <c r="AR103" s="116"/>
      <c r="AS103" s="116"/>
      <c r="AT103" s="116"/>
      <c r="AU103" s="86"/>
      <c r="AW103" s="95"/>
      <c r="AX103" s="122"/>
      <c r="AY103" s="122"/>
      <c r="AZ103" s="122"/>
      <c r="BA103" s="122"/>
      <c r="BB103" s="122"/>
      <c r="BC103" s="122"/>
      <c r="BD103" s="122"/>
      <c r="BE103" s="122"/>
      <c r="BF103" s="122"/>
      <c r="BG103" s="122"/>
      <c r="BH103" s="122"/>
      <c r="BI103" s="122"/>
      <c r="BJ103" s="122"/>
      <c r="BK103" s="122"/>
      <c r="BL103" s="122"/>
      <c r="BM103" s="122"/>
      <c r="BN103" s="122"/>
      <c r="BO103" s="122"/>
      <c r="BP103" s="96"/>
    </row>
    <row r="104" spans="1:68" x14ac:dyDescent="0.3">
      <c r="A104" s="32" t="s">
        <v>169</v>
      </c>
      <c r="B104" s="2">
        <v>45640.418749999997</v>
      </c>
      <c r="C104" s="12">
        <f t="shared" si="7"/>
        <v>114.21666666667443</v>
      </c>
      <c r="E104">
        <v>562.33849999999995</v>
      </c>
      <c r="F104">
        <f t="shared" si="8"/>
        <v>514.98719930042671</v>
      </c>
      <c r="G104">
        <f t="shared" si="9"/>
        <v>179.24569483742232</v>
      </c>
      <c r="H104">
        <v>0</v>
      </c>
      <c r="I104">
        <f t="shared" si="10"/>
        <v>0</v>
      </c>
      <c r="J104" s="33">
        <f t="shared" si="11"/>
        <v>0</v>
      </c>
      <c r="AC104" s="85"/>
      <c r="AD104" s="116"/>
      <c r="AE104" s="116"/>
      <c r="AF104" s="116"/>
      <c r="AG104" s="116"/>
      <c r="AH104" s="116"/>
      <c r="AI104" s="116"/>
      <c r="AJ104" s="116"/>
      <c r="AK104" s="116"/>
      <c r="AL104" s="116"/>
      <c r="AM104" s="116"/>
      <c r="AN104" s="116"/>
      <c r="AO104" s="116"/>
      <c r="AP104" s="116"/>
      <c r="AQ104" s="116"/>
      <c r="AR104" s="116"/>
      <c r="AS104" s="116"/>
      <c r="AT104" s="116"/>
      <c r="AU104" s="86"/>
      <c r="AW104" s="95"/>
      <c r="AX104" s="122"/>
      <c r="AY104" s="122"/>
      <c r="AZ104" s="122"/>
      <c r="BA104" s="122"/>
      <c r="BB104" s="122"/>
      <c r="BC104" s="122"/>
      <c r="BD104" s="122"/>
      <c r="BE104" s="122"/>
      <c r="BF104" s="122"/>
      <c r="BG104" s="122"/>
      <c r="BH104" s="122"/>
      <c r="BI104" s="122"/>
      <c r="BJ104" s="122"/>
      <c r="BK104" s="122"/>
      <c r="BL104" s="122"/>
      <c r="BM104" s="122"/>
      <c r="BN104" s="122"/>
      <c r="BO104" s="122"/>
      <c r="BP104" s="96"/>
    </row>
    <row r="105" spans="1:68" ht="15" thickBot="1" x14ac:dyDescent="0.35">
      <c r="A105" s="32" t="s">
        <v>170</v>
      </c>
      <c r="B105" s="2">
        <v>45640.421527777777</v>
      </c>
      <c r="C105" s="12">
        <f t="shared" si="7"/>
        <v>114.21666666667443</v>
      </c>
      <c r="E105">
        <v>670.68100000000004</v>
      </c>
      <c r="F105">
        <f>E105/$O$103</f>
        <v>614.20679859908137</v>
      </c>
      <c r="G105">
        <f t="shared" si="9"/>
        <v>232.19956204349535</v>
      </c>
      <c r="H105">
        <v>0.76149999999999995</v>
      </c>
      <c r="I105">
        <f>H105/$O$120</f>
        <v>0.10567840154784897</v>
      </c>
      <c r="J105" s="33">
        <f t="shared" si="11"/>
        <v>9.5671320772927615E-3</v>
      </c>
      <c r="AC105" s="87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9"/>
      <c r="AW105" s="97"/>
      <c r="AX105" s="98"/>
      <c r="AY105" s="98"/>
      <c r="AZ105" s="98"/>
      <c r="BA105" s="98"/>
      <c r="BB105" s="98"/>
      <c r="BC105" s="98"/>
      <c r="BD105" s="98"/>
      <c r="BE105" s="98"/>
      <c r="BF105" s="98"/>
      <c r="BG105" s="98"/>
      <c r="BH105" s="98"/>
      <c r="BI105" s="98"/>
      <c r="BJ105" s="98"/>
      <c r="BK105" s="98"/>
      <c r="BL105" s="98"/>
      <c r="BM105" s="98"/>
      <c r="BN105" s="98"/>
      <c r="BO105" s="98"/>
      <c r="BP105" s="99"/>
    </row>
    <row r="106" spans="1:68" ht="15" thickBot="1" x14ac:dyDescent="0.35">
      <c r="A106" s="32" t="s">
        <v>171</v>
      </c>
      <c r="B106" s="2">
        <v>45640.425000000003</v>
      </c>
      <c r="C106" s="12">
        <f t="shared" si="7"/>
        <v>114.21666666667443</v>
      </c>
      <c r="E106">
        <v>730.86900000000003</v>
      </c>
      <c r="F106">
        <f t="shared" si="8"/>
        <v>669.32671223027342</v>
      </c>
      <c r="G106">
        <f t="shared" si="9"/>
        <v>269.91032006410154</v>
      </c>
      <c r="H106">
        <v>1.4219999999999999</v>
      </c>
      <c r="I106">
        <f t="shared" si="10"/>
        <v>0.19734036375711259</v>
      </c>
      <c r="J106" s="33">
        <f t="shared" si="11"/>
        <v>9.8204133015666203E-2</v>
      </c>
    </row>
    <row r="107" spans="1:68" x14ac:dyDescent="0.3">
      <c r="A107" s="32" t="s">
        <v>172</v>
      </c>
      <c r="B107" s="2">
        <v>45640.432638888888</v>
      </c>
      <c r="C107" s="12">
        <f t="shared" si="7"/>
        <v>114.33333333337214</v>
      </c>
      <c r="E107">
        <v>418.77</v>
      </c>
      <c r="F107">
        <f t="shared" si="8"/>
        <v>383.50777947986791</v>
      </c>
      <c r="G107">
        <f t="shared" si="9"/>
        <v>151.66388348200729</v>
      </c>
      <c r="H107">
        <v>0.53249999999999997</v>
      </c>
      <c r="I107">
        <f t="shared" si="10"/>
        <v>7.3898553938581191E-2</v>
      </c>
      <c r="J107" s="33">
        <f t="shared" si="11"/>
        <v>7.3898553938581191E-2</v>
      </c>
      <c r="O107" s="29" t="s">
        <v>301</v>
      </c>
      <c r="P107" s="30" t="s">
        <v>264</v>
      </c>
      <c r="Q107" s="30"/>
      <c r="R107" s="31"/>
    </row>
    <row r="108" spans="1:68" x14ac:dyDescent="0.3">
      <c r="A108" s="32" t="s">
        <v>173</v>
      </c>
      <c r="B108" s="2">
        <v>45640.435416666667</v>
      </c>
      <c r="C108" s="12">
        <f t="shared" si="7"/>
        <v>114.33333333337214</v>
      </c>
      <c r="E108">
        <v>811.51300000000003</v>
      </c>
      <c r="F108">
        <f t="shared" si="8"/>
        <v>743.18014339385832</v>
      </c>
      <c r="G108">
        <f t="shared" si="9"/>
        <v>281.44685990631461</v>
      </c>
      <c r="H108">
        <v>2.2269999999999999</v>
      </c>
      <c r="I108">
        <f t="shared" si="10"/>
        <v>0.30905554858445128</v>
      </c>
      <c r="J108" s="33">
        <f t="shared" si="11"/>
        <v>0.12728287585186857</v>
      </c>
      <c r="O108" s="32">
        <v>2</v>
      </c>
      <c r="P108" s="28">
        <v>0.34166666666666667</v>
      </c>
      <c r="Q108" s="28">
        <v>0.34652777777777777</v>
      </c>
      <c r="R108" s="117">
        <v>0.40625</v>
      </c>
    </row>
    <row r="109" spans="1:68" x14ac:dyDescent="0.3">
      <c r="A109" s="32" t="s">
        <v>174</v>
      </c>
      <c r="B109" s="2">
        <v>45640.438888888886</v>
      </c>
      <c r="C109" s="12">
        <f t="shared" si="7"/>
        <v>114.34999999991851</v>
      </c>
      <c r="E109">
        <v>516.36599999999999</v>
      </c>
      <c r="F109">
        <f t="shared" si="8"/>
        <v>472.88577992430561</v>
      </c>
      <c r="G109">
        <f t="shared" si="9"/>
        <v>176.14494461643187</v>
      </c>
      <c r="H109">
        <v>0</v>
      </c>
      <c r="I109">
        <f t="shared" si="10"/>
        <v>0</v>
      </c>
      <c r="J109" s="33">
        <f t="shared" si="11"/>
        <v>0</v>
      </c>
      <c r="O109" s="32">
        <v>30</v>
      </c>
      <c r="P109" s="28">
        <v>0.35</v>
      </c>
      <c r="Q109" s="28">
        <v>0.35347222222222224</v>
      </c>
      <c r="R109" s="117">
        <v>0.44513888888888886</v>
      </c>
    </row>
    <row r="110" spans="1:68" ht="15" thickBot="1" x14ac:dyDescent="0.35">
      <c r="A110" s="32" t="s">
        <v>175</v>
      </c>
      <c r="B110" s="2">
        <v>45640.441666666666</v>
      </c>
      <c r="C110" s="12">
        <f t="shared" si="7"/>
        <v>114.33333333337214</v>
      </c>
      <c r="E110">
        <v>501.81799999999998</v>
      </c>
      <c r="F110">
        <f t="shared" si="8"/>
        <v>459.56278358771726</v>
      </c>
      <c r="G110">
        <f t="shared" si="9"/>
        <v>170.85671988969796</v>
      </c>
      <c r="H110">
        <v>0.52700000000000002</v>
      </c>
      <c r="I110">
        <f t="shared" si="10"/>
        <v>7.313528248945031E-2</v>
      </c>
      <c r="J110" s="33">
        <f t="shared" si="11"/>
        <v>7.313528248945031E-2</v>
      </c>
      <c r="O110" s="41">
        <v>1000</v>
      </c>
      <c r="P110" s="119">
        <v>0.3576388888888889</v>
      </c>
      <c r="Q110" s="119">
        <v>0.36180555555555555</v>
      </c>
      <c r="R110" s="120">
        <v>0.47638888888888886</v>
      </c>
    </row>
    <row r="111" spans="1:68" x14ac:dyDescent="0.3">
      <c r="A111" s="32" t="s">
        <v>176</v>
      </c>
      <c r="B111" s="2">
        <v>45640.448611111111</v>
      </c>
      <c r="C111" s="12">
        <f t="shared" si="7"/>
        <v>114.33333333337214</v>
      </c>
      <c r="E111">
        <v>452.43799999999999</v>
      </c>
      <c r="F111">
        <f t="shared" si="8"/>
        <v>414.34079024837615</v>
      </c>
      <c r="G111">
        <f t="shared" si="9"/>
        <v>146.87791184591958</v>
      </c>
      <c r="H111" s="43">
        <v>0.78549999999999998</v>
      </c>
      <c r="I111">
        <f t="shared" si="10"/>
        <v>0.10900904059860192</v>
      </c>
      <c r="J111" s="33">
        <f t="shared" si="11"/>
        <v>0.10900904059860192</v>
      </c>
    </row>
    <row r="112" spans="1:68" x14ac:dyDescent="0.3">
      <c r="A112" s="32" t="s">
        <v>177</v>
      </c>
      <c r="B112" s="2">
        <v>45640.451388888891</v>
      </c>
      <c r="C112" s="12">
        <f t="shared" si="7"/>
        <v>114.31666666665114</v>
      </c>
      <c r="E112">
        <v>547.47299999999996</v>
      </c>
      <c r="F112">
        <f t="shared" si="8"/>
        <v>501.37343781832919</v>
      </c>
      <c r="G112">
        <f t="shared" si="9"/>
        <v>176.95405281494794</v>
      </c>
      <c r="H112">
        <v>0.8165</v>
      </c>
      <c r="I112">
        <f t="shared" si="10"/>
        <v>0.11331111603915783</v>
      </c>
      <c r="J112" s="33">
        <f t="shared" si="11"/>
        <v>-4.164939997417097E-2</v>
      </c>
    </row>
    <row r="113" spans="1:20" ht="15" thickBot="1" x14ac:dyDescent="0.35">
      <c r="A113" s="32" t="s">
        <v>178</v>
      </c>
      <c r="B113" s="2">
        <v>45640.454861111109</v>
      </c>
      <c r="C113" s="12">
        <f t="shared" si="7"/>
        <v>114.33333333337214</v>
      </c>
      <c r="E113">
        <v>359.17500000000001</v>
      </c>
      <c r="F113">
        <f t="shared" si="8"/>
        <v>328.93093271887091</v>
      </c>
      <c r="G113">
        <f t="shared" si="9"/>
        <v>120.00558413633016</v>
      </c>
      <c r="H113">
        <v>0.55700000000000005</v>
      </c>
      <c r="I113">
        <f t="shared" si="10"/>
        <v>7.7298581302891509E-2</v>
      </c>
      <c r="J113" s="33">
        <f t="shared" si="11"/>
        <v>-3.5037480438802934E-2</v>
      </c>
      <c r="N113" t="s">
        <v>303</v>
      </c>
    </row>
    <row r="114" spans="1:20" x14ac:dyDescent="0.3">
      <c r="A114" s="32" t="s">
        <v>179</v>
      </c>
      <c r="B114" s="2">
        <v>45640.457638888889</v>
      </c>
      <c r="C114" s="12">
        <f t="shared" si="7"/>
        <v>114.33333333337214</v>
      </c>
      <c r="E114">
        <v>325.61149999999998</v>
      </c>
      <c r="F114">
        <f t="shared" si="8"/>
        <v>298.19362260455381</v>
      </c>
      <c r="G114">
        <f t="shared" si="9"/>
        <v>103.30106456364575</v>
      </c>
      <c r="H114">
        <v>0</v>
      </c>
      <c r="I114">
        <f t="shared" si="10"/>
        <v>0</v>
      </c>
      <c r="J114" s="33">
        <f t="shared" si="11"/>
        <v>0</v>
      </c>
      <c r="N114" s="29" t="s">
        <v>301</v>
      </c>
      <c r="O114" s="30" t="s">
        <v>269</v>
      </c>
      <c r="P114" s="30" t="s">
        <v>270</v>
      </c>
      <c r="Q114" s="30" t="s">
        <v>271</v>
      </c>
      <c r="R114" s="30" t="s">
        <v>272</v>
      </c>
      <c r="S114" s="30" t="s">
        <v>273</v>
      </c>
      <c r="T114" s="31" t="s">
        <v>274</v>
      </c>
    </row>
    <row r="115" spans="1:20" x14ac:dyDescent="0.3">
      <c r="A115" s="32" t="s">
        <v>180</v>
      </c>
      <c r="B115" s="2">
        <v>45640.461111111108</v>
      </c>
      <c r="C115" s="12">
        <f t="shared" si="7"/>
        <v>114.34999999991851</v>
      </c>
      <c r="D115" s="12"/>
      <c r="E115">
        <v>225.98699999999999</v>
      </c>
      <c r="F115">
        <f t="shared" si="8"/>
        <v>206.95793051392627</v>
      </c>
      <c r="G115">
        <f t="shared" si="9"/>
        <v>72.557410801111502</v>
      </c>
      <c r="H115">
        <v>0</v>
      </c>
      <c r="I115">
        <f t="shared" si="10"/>
        <v>0</v>
      </c>
      <c r="J115" s="33">
        <f t="shared" si="11"/>
        <v>0</v>
      </c>
      <c r="N115" s="32">
        <v>0</v>
      </c>
      <c r="O115">
        <v>0</v>
      </c>
      <c r="P115">
        <v>0</v>
      </c>
      <c r="Q115">
        <v>0</v>
      </c>
      <c r="T115" s="33"/>
    </row>
    <row r="116" spans="1:20" x14ac:dyDescent="0.3">
      <c r="A116" s="32" t="s">
        <v>181</v>
      </c>
      <c r="B116" s="2">
        <v>45640.463888888888</v>
      </c>
      <c r="C116" s="12">
        <f t="shared" si="7"/>
        <v>114.34999999991851</v>
      </c>
      <c r="E116">
        <v>372.03149999999999</v>
      </c>
      <c r="F116">
        <f t="shared" si="8"/>
        <v>340.70486057158934</v>
      </c>
      <c r="G116">
        <f t="shared" si="9"/>
        <v>130.77613311628616</v>
      </c>
      <c r="H116">
        <v>0</v>
      </c>
      <c r="I116">
        <f t="shared" si="10"/>
        <v>0</v>
      </c>
      <c r="J116" s="33">
        <f t="shared" si="11"/>
        <v>0</v>
      </c>
      <c r="N116" s="32">
        <v>2</v>
      </c>
      <c r="O116">
        <f>AVERAGE(P116:T116)</f>
        <v>14.391666666666666</v>
      </c>
      <c r="P116">
        <v>14.112</v>
      </c>
      <c r="Q116">
        <v>14.420500000000001</v>
      </c>
      <c r="R116">
        <v>14.6425</v>
      </c>
      <c r="T116" s="33"/>
    </row>
    <row r="117" spans="1:20" x14ac:dyDescent="0.3">
      <c r="A117" s="32" t="s">
        <v>182</v>
      </c>
      <c r="B117" s="2">
        <v>45640.466666666667</v>
      </c>
      <c r="C117" s="12">
        <f t="shared" si="7"/>
        <v>114.33333333337214</v>
      </c>
      <c r="E117">
        <v>271.74700000000001</v>
      </c>
      <c r="F117">
        <f t="shared" si="8"/>
        <v>248.8647432965964</v>
      </c>
      <c r="G117">
        <f t="shared" si="9"/>
        <v>83.053723731818366</v>
      </c>
      <c r="H117">
        <v>1.2689999999999999</v>
      </c>
      <c r="I117">
        <f t="shared" si="10"/>
        <v>0.1761075398085625</v>
      </c>
      <c r="J117" s="33">
        <f t="shared" si="11"/>
        <v>0.10612093585933059</v>
      </c>
      <c r="N117" s="32">
        <v>30</v>
      </c>
      <c r="O117">
        <f>AVERAGE(P117:T117)</f>
        <v>214.3546666666667</v>
      </c>
      <c r="P117">
        <v>210.91749999999999</v>
      </c>
      <c r="Q117">
        <v>218.13</v>
      </c>
      <c r="R117">
        <v>214.01650000000001</v>
      </c>
      <c r="T117" s="33"/>
    </row>
    <row r="118" spans="1:20" ht="15" thickBot="1" x14ac:dyDescent="0.35">
      <c r="A118" s="41" t="s">
        <v>183</v>
      </c>
      <c r="B118" s="121">
        <v>45640.470138888886</v>
      </c>
      <c r="C118" s="56">
        <f t="shared" si="7"/>
        <v>114.34999999991851</v>
      </c>
      <c r="D118" s="36"/>
      <c r="E118" s="36">
        <v>222.03100000000001</v>
      </c>
      <c r="F118" s="36">
        <f t="shared" si="8"/>
        <v>203.33504259066922</v>
      </c>
      <c r="G118" s="36">
        <f t="shared" si="9"/>
        <v>72.11979119910211</v>
      </c>
      <c r="H118" s="36">
        <v>0.78800000000000003</v>
      </c>
      <c r="I118" s="36">
        <f t="shared" si="10"/>
        <v>0.1093559821663887</v>
      </c>
      <c r="J118" s="37">
        <f t="shared" si="11"/>
        <v>0.1093559821663887</v>
      </c>
      <c r="N118" s="32">
        <v>1000</v>
      </c>
      <c r="O118">
        <f>AVERAGE(P118:Q118)</f>
        <v>7205.8790000000008</v>
      </c>
      <c r="P118">
        <v>7205.7790000000005</v>
      </c>
      <c r="Q118">
        <v>7205.9790000000003</v>
      </c>
      <c r="R118" s="4">
        <v>7267.8014999999996</v>
      </c>
      <c r="T118" s="33"/>
    </row>
    <row r="119" spans="1:20" ht="15" thickBot="1" x14ac:dyDescent="0.35">
      <c r="N119" s="32"/>
      <c r="T119" s="33"/>
    </row>
    <row r="120" spans="1:20" ht="15" thickBot="1" x14ac:dyDescent="0.35">
      <c r="N120" s="34" t="s">
        <v>302</v>
      </c>
      <c r="O120" s="35" cm="1">
        <f t="array" ref="O120:P120">LINEST(O115:O118,N115:N118,FALSE,FALSE)</f>
        <v>7.205824358113599</v>
      </c>
      <c r="P120" s="36">
        <v>0</v>
      </c>
      <c r="Q120" s="36"/>
      <c r="R120" s="36"/>
      <c r="S120" s="36"/>
      <c r="T120" s="37"/>
    </row>
    <row r="122" spans="1:20" ht="15" thickBot="1" x14ac:dyDescent="0.35"/>
    <row r="123" spans="1:20" x14ac:dyDescent="0.3">
      <c r="N123" s="29" t="s">
        <v>276</v>
      </c>
      <c r="O123" s="39">
        <v>21.9</v>
      </c>
    </row>
    <row r="124" spans="1:20" x14ac:dyDescent="0.3">
      <c r="N124" s="32" t="s">
        <v>277</v>
      </c>
      <c r="O124" s="40">
        <v>9780</v>
      </c>
    </row>
    <row r="125" spans="1:20" ht="15" thickBot="1" x14ac:dyDescent="0.35">
      <c r="N125" s="41" t="s">
        <v>278</v>
      </c>
      <c r="O125" s="42">
        <v>44.5</v>
      </c>
    </row>
    <row r="128" spans="1:20" x14ac:dyDescent="0.3">
      <c r="B128" s="2"/>
      <c r="C128" s="12"/>
    </row>
    <row r="129" spans="1:20" x14ac:dyDescent="0.3">
      <c r="B129" s="2"/>
    </row>
    <row r="131" spans="1:20" ht="15" thickBot="1" x14ac:dyDescent="0.35">
      <c r="A131" s="27" t="s">
        <v>298</v>
      </c>
      <c r="B131" s="1"/>
      <c r="C131" s="1"/>
      <c r="D131" s="1"/>
      <c r="E131" s="1"/>
      <c r="F131" s="1"/>
    </row>
    <row r="132" spans="1:20" ht="15" thickBot="1" x14ac:dyDescent="0.35">
      <c r="A132" s="50" t="s">
        <v>283</v>
      </c>
      <c r="B132" s="51" t="s">
        <v>284</v>
      </c>
      <c r="C132" s="51" t="s">
        <v>298</v>
      </c>
      <c r="D132" s="118" t="s">
        <v>312</v>
      </c>
      <c r="E132" s="51" t="s">
        <v>266</v>
      </c>
      <c r="F132" s="51" t="s">
        <v>267</v>
      </c>
      <c r="G132" s="51" t="s">
        <v>297</v>
      </c>
      <c r="H132" s="51" t="s">
        <v>299</v>
      </c>
      <c r="I132" s="51" t="s">
        <v>300</v>
      </c>
      <c r="J132" s="52" t="s">
        <v>297</v>
      </c>
      <c r="L132" s="1"/>
      <c r="O132" s="29" t="s">
        <v>263</v>
      </c>
      <c r="P132" s="30" t="s">
        <v>264</v>
      </c>
      <c r="Q132" s="30"/>
      <c r="R132" s="30"/>
      <c r="S132" s="31"/>
    </row>
    <row r="133" spans="1:20" x14ac:dyDescent="0.3">
      <c r="A133" s="32" t="s">
        <v>156</v>
      </c>
      <c r="B133" s="2">
        <v>45642.321527777778</v>
      </c>
      <c r="C133" s="12">
        <f>(B133-B8)*24</f>
        <v>160.91666666662786</v>
      </c>
      <c r="D133">
        <v>525</v>
      </c>
      <c r="E133">
        <v>1039.296</v>
      </c>
      <c r="F133">
        <f>E133/$O$145</f>
        <v>965.47145411434906</v>
      </c>
      <c r="G133">
        <f>F133-F91</f>
        <v>320.88954261370293</v>
      </c>
      <c r="H133">
        <v>9.9109999999999996</v>
      </c>
      <c r="I133">
        <f>H133/$O$163</f>
        <v>1.3520849970097275</v>
      </c>
      <c r="J133" s="33">
        <f>I133-I91</f>
        <v>0.33374210724201148</v>
      </c>
      <c r="O133" s="32">
        <v>895</v>
      </c>
      <c r="P133" s="28">
        <v>0.29652777777777778</v>
      </c>
      <c r="Q133" s="28">
        <v>0.3</v>
      </c>
      <c r="R133" s="28">
        <v>0.31874999999999998</v>
      </c>
      <c r="S133" s="117">
        <v>0.35</v>
      </c>
    </row>
    <row r="134" spans="1:20" x14ac:dyDescent="0.3">
      <c r="A134" s="32" t="s">
        <v>157</v>
      </c>
      <c r="B134" s="2">
        <v>45642.324999999997</v>
      </c>
      <c r="C134" s="12">
        <f t="shared" ref="C134:C159" si="13">(B134-B9)*24</f>
        <v>160.91666666662786</v>
      </c>
      <c r="D134">
        <v>570</v>
      </c>
      <c r="E134">
        <v>681.97699999999998</v>
      </c>
      <c r="F134">
        <f t="shared" ref="F134:F160" si="14">E134/$O$145</f>
        <v>633.53397478922398</v>
      </c>
      <c r="G134">
        <f t="shared" ref="G134:G160" si="15">F134-F92</f>
        <v>223.50566665172181</v>
      </c>
      <c r="H134">
        <v>7.5060000000000002</v>
      </c>
      <c r="I134">
        <f t="shared" ref="I134:I160" si="16">H134/$O$163</f>
        <v>1.0239884963732231</v>
      </c>
      <c r="J134" s="33">
        <f t="shared" ref="J134:J160" si="17">I134-I92</f>
        <v>0.80208466961680747</v>
      </c>
      <c r="O134" s="32">
        <v>3000</v>
      </c>
      <c r="P134" s="28">
        <v>0.3034722222222222</v>
      </c>
      <c r="Q134" s="28">
        <v>0.30694444444444446</v>
      </c>
      <c r="R134" s="28">
        <v>0.38124999999999998</v>
      </c>
      <c r="S134" s="117"/>
    </row>
    <row r="135" spans="1:20" ht="15" thickBot="1" x14ac:dyDescent="0.35">
      <c r="A135" s="32" t="s">
        <v>158</v>
      </c>
      <c r="B135" s="2">
        <v>45642.327777777777</v>
      </c>
      <c r="C135" s="12">
        <f t="shared" si="13"/>
        <v>160.89999999990687</v>
      </c>
      <c r="D135">
        <v>319</v>
      </c>
      <c r="E135">
        <v>779.51499999999999</v>
      </c>
      <c r="F135">
        <f t="shared" si="14"/>
        <v>724.14353615711673</v>
      </c>
      <c r="G135">
        <f t="shared" si="15"/>
        <v>217.19839709381887</v>
      </c>
      <c r="H135">
        <v>3.6495000000000002</v>
      </c>
      <c r="I135">
        <f t="shared" si="16"/>
        <v>0.49787450273302397</v>
      </c>
      <c r="J135" s="33">
        <f t="shared" si="17"/>
        <v>0.18673730474185207</v>
      </c>
      <c r="O135" s="41">
        <v>7981</v>
      </c>
      <c r="P135" s="119">
        <v>0.31111111111111112</v>
      </c>
      <c r="Q135" s="119">
        <v>0.31458333333333333</v>
      </c>
      <c r="R135" s="119">
        <v>0.41597222222222224</v>
      </c>
      <c r="S135" s="120"/>
    </row>
    <row r="136" spans="1:20" x14ac:dyDescent="0.3">
      <c r="A136" s="32" t="s">
        <v>159</v>
      </c>
      <c r="B136" s="2">
        <v>45642.331250000003</v>
      </c>
      <c r="C136" s="12">
        <f t="shared" si="13"/>
        <v>160.90000000008149</v>
      </c>
      <c r="D136">
        <v>570</v>
      </c>
      <c r="E136">
        <v>1373.752</v>
      </c>
      <c r="F136">
        <f t="shared" si="14"/>
        <v>1276.1699660467232</v>
      </c>
      <c r="G136">
        <f t="shared" si="15"/>
        <v>450.15701431851767</v>
      </c>
      <c r="H136">
        <v>2.4009999999999998</v>
      </c>
      <c r="I136">
        <f t="shared" si="16"/>
        <v>0.32755080999095504</v>
      </c>
      <c r="J136" s="33">
        <f t="shared" si="17"/>
        <v>0.10530004166675264</v>
      </c>
    </row>
    <row r="137" spans="1:20" x14ac:dyDescent="0.3">
      <c r="A137" s="32" t="s">
        <v>160</v>
      </c>
      <c r="B137" s="2">
        <v>45642.334722222222</v>
      </c>
      <c r="C137" s="12">
        <f t="shared" si="13"/>
        <v>160.91666666662786</v>
      </c>
      <c r="D137">
        <v>295</v>
      </c>
      <c r="E137">
        <v>1398.97</v>
      </c>
      <c r="F137">
        <f t="shared" si="14"/>
        <v>1299.5966501962394</v>
      </c>
      <c r="G137">
        <f t="shared" si="15"/>
        <v>529.25308953955812</v>
      </c>
      <c r="H137">
        <v>1.7470000000000001</v>
      </c>
      <c r="I137">
        <f t="shared" si="16"/>
        <v>0.23833038944364787</v>
      </c>
      <c r="J137" s="33">
        <f t="shared" si="17"/>
        <v>0.10690892356602086</v>
      </c>
    </row>
    <row r="138" spans="1:20" ht="15" thickBot="1" x14ac:dyDescent="0.35">
      <c r="A138" s="32" t="s">
        <v>161</v>
      </c>
      <c r="B138" s="2">
        <v>45642.412499999999</v>
      </c>
      <c r="C138" s="12">
        <f t="shared" si="13"/>
        <v>160.89999999990687</v>
      </c>
      <c r="D138">
        <v>309</v>
      </c>
      <c r="E138">
        <v>1054.914</v>
      </c>
      <c r="F138">
        <f t="shared" si="14"/>
        <v>979.98005721717811</v>
      </c>
      <c r="G138">
        <f t="shared" si="15"/>
        <v>355.94127561908567</v>
      </c>
      <c r="H138">
        <v>0.76600000000000001</v>
      </c>
      <c r="I138">
        <f t="shared" si="16"/>
        <v>0.10449975862268704</v>
      </c>
      <c r="J138" s="33">
        <f t="shared" si="17"/>
        <v>-1.5958353712878168E-2</v>
      </c>
      <c r="N138" t="s">
        <v>268</v>
      </c>
    </row>
    <row r="139" spans="1:20" x14ac:dyDescent="0.3">
      <c r="A139" s="32" t="s">
        <v>162</v>
      </c>
      <c r="B139" s="2">
        <v>45642.337500000001</v>
      </c>
      <c r="C139" s="12">
        <f t="shared" si="13"/>
        <v>160.90000000008149</v>
      </c>
      <c r="D139">
        <v>535</v>
      </c>
      <c r="E139">
        <v>266.62</v>
      </c>
      <c r="F139">
        <f t="shared" si="14"/>
        <v>247.6811217362212</v>
      </c>
      <c r="G139">
        <f t="shared" si="15"/>
        <v>94.237714931983021</v>
      </c>
      <c r="H139">
        <v>3.86</v>
      </c>
      <c r="I139">
        <f t="shared" si="16"/>
        <v>0.52659147295505482</v>
      </c>
      <c r="J139" s="33">
        <f t="shared" si="17"/>
        <v>0.21628693472657112</v>
      </c>
      <c r="N139" s="29" t="s">
        <v>263</v>
      </c>
      <c r="O139" s="30" t="s">
        <v>269</v>
      </c>
      <c r="P139" s="30" t="s">
        <v>270</v>
      </c>
      <c r="Q139" s="30" t="s">
        <v>271</v>
      </c>
      <c r="R139" s="30" t="s">
        <v>272</v>
      </c>
      <c r="S139" s="30" t="s">
        <v>273</v>
      </c>
      <c r="T139" s="31" t="s">
        <v>274</v>
      </c>
    </row>
    <row r="140" spans="1:20" x14ac:dyDescent="0.3">
      <c r="A140" s="32" t="s">
        <v>163</v>
      </c>
      <c r="B140" s="2">
        <v>45642.34097222222</v>
      </c>
      <c r="C140" s="12">
        <f t="shared" si="13"/>
        <v>160.91666666662786</v>
      </c>
      <c r="D140">
        <v>498</v>
      </c>
      <c r="E140">
        <v>478.93150000000003</v>
      </c>
      <c r="F140">
        <f t="shared" si="14"/>
        <v>444.91145133452488</v>
      </c>
      <c r="G140">
        <f t="shared" si="15"/>
        <v>176.46974263462562</v>
      </c>
      <c r="H140">
        <v>2.0009999999999999</v>
      </c>
      <c r="I140">
        <f t="shared" si="16"/>
        <v>0.2729817454360271</v>
      </c>
      <c r="J140" s="33">
        <f t="shared" si="17"/>
        <v>0.1314295857790265</v>
      </c>
      <c r="N140" s="32">
        <v>0</v>
      </c>
      <c r="O140">
        <v>0</v>
      </c>
      <c r="T140" s="33"/>
    </row>
    <row r="141" spans="1:20" x14ac:dyDescent="0.3">
      <c r="A141" s="32" t="s">
        <v>164</v>
      </c>
      <c r="B141" s="2">
        <v>45642.34375</v>
      </c>
      <c r="C141" s="12">
        <f t="shared" si="13"/>
        <v>160.90000000008149</v>
      </c>
      <c r="D141">
        <v>497</v>
      </c>
      <c r="E141">
        <v>729.26300000000003</v>
      </c>
      <c r="F141">
        <f t="shared" si="14"/>
        <v>677.46109774481238</v>
      </c>
      <c r="G141">
        <f t="shared" si="15"/>
        <v>269.82988494075954</v>
      </c>
      <c r="H141">
        <v>0.624</v>
      </c>
      <c r="I141">
        <f t="shared" si="16"/>
        <v>8.5127740705687613E-2</v>
      </c>
      <c r="J141" s="33">
        <f t="shared" si="17"/>
        <v>5.6781216825181613E-3</v>
      </c>
      <c r="N141" s="32">
        <v>895</v>
      </c>
      <c r="O141">
        <f>AVERAGE(Q141,R141,S141)</f>
        <v>850.51466666666659</v>
      </c>
      <c r="P141" s="4">
        <v>1153.9190000000001</v>
      </c>
      <c r="Q141">
        <v>856.67849999999999</v>
      </c>
      <c r="R141">
        <v>848.1635</v>
      </c>
      <c r="S141">
        <v>846.702</v>
      </c>
      <c r="T141" s="33"/>
    </row>
    <row r="142" spans="1:20" x14ac:dyDescent="0.3">
      <c r="A142" s="32" t="s">
        <v>165</v>
      </c>
      <c r="B142" s="2">
        <v>45642.34652777778</v>
      </c>
      <c r="C142" s="12">
        <f t="shared" si="13"/>
        <v>160.90000000008149</v>
      </c>
      <c r="D142">
        <v>488</v>
      </c>
      <c r="E142">
        <v>2721.3825000000002</v>
      </c>
      <c r="F142">
        <f t="shared" si="14"/>
        <v>2528.0739264620884</v>
      </c>
      <c r="G142">
        <f t="shared" si="15"/>
        <v>990.98038760849863</v>
      </c>
      <c r="H142">
        <v>2.8050000000000002</v>
      </c>
      <c r="I142">
        <f t="shared" si="16"/>
        <v>0.3826655651914323</v>
      </c>
      <c r="J142" s="33">
        <f t="shared" si="17"/>
        <v>0.10497353433490469</v>
      </c>
      <c r="N142" s="32">
        <v>3000</v>
      </c>
      <c r="O142">
        <f>AVERAGE(P142:T142)</f>
        <v>3172.3201666666664</v>
      </c>
      <c r="P142">
        <v>3168.7885000000001</v>
      </c>
      <c r="Q142">
        <v>3212.8879999999999</v>
      </c>
      <c r="R142">
        <v>3135.2840000000001</v>
      </c>
      <c r="T142" s="33"/>
    </row>
    <row r="143" spans="1:20" x14ac:dyDescent="0.3">
      <c r="A143" s="32" t="s">
        <v>166</v>
      </c>
      <c r="B143" s="2">
        <v>45642.353472222225</v>
      </c>
      <c r="C143" s="12">
        <f t="shared" si="13"/>
        <v>160.91666666680248</v>
      </c>
      <c r="D143">
        <v>488</v>
      </c>
      <c r="E143">
        <v>635.03300000000002</v>
      </c>
      <c r="F143">
        <f t="shared" si="14"/>
        <v>589.92455847092401</v>
      </c>
      <c r="G143">
        <f t="shared" si="15"/>
        <v>200.02818795146027</v>
      </c>
      <c r="H143">
        <v>1.135</v>
      </c>
      <c r="I143">
        <f t="shared" si="16"/>
        <v>0.15483972067460808</v>
      </c>
      <c r="J143" s="33">
        <f t="shared" si="17"/>
        <v>0.15483972067460808</v>
      </c>
      <c r="N143" s="32">
        <v>7981</v>
      </c>
      <c r="O143">
        <f>AVERAGE(P143:T143)</f>
        <v>8625.3821666666681</v>
      </c>
      <c r="P143">
        <v>8722.6105000000007</v>
      </c>
      <c r="Q143">
        <v>8544.348</v>
      </c>
      <c r="R143">
        <v>8609.1880000000001</v>
      </c>
      <c r="T143" s="33"/>
    </row>
    <row r="144" spans="1:20" ht="15" thickBot="1" x14ac:dyDescent="0.35">
      <c r="A144" s="32" t="s">
        <v>167</v>
      </c>
      <c r="B144" s="2">
        <v>45642.356249999997</v>
      </c>
      <c r="C144" s="12">
        <f t="shared" si="13"/>
        <v>160.91666666662786</v>
      </c>
      <c r="D144">
        <v>513</v>
      </c>
      <c r="E144">
        <v>1531.742</v>
      </c>
      <c r="F144">
        <f t="shared" si="14"/>
        <v>1422.9374269390253</v>
      </c>
      <c r="G144">
        <f t="shared" si="15"/>
        <v>535.68155130285913</v>
      </c>
      <c r="H144">
        <v>1.8855</v>
      </c>
      <c r="I144">
        <f t="shared" si="16"/>
        <v>0.25722492804579167</v>
      </c>
      <c r="J144" s="33">
        <f t="shared" si="17"/>
        <v>4.2815039153570184E-2</v>
      </c>
      <c r="N144" s="32"/>
      <c r="T144" s="33"/>
    </row>
    <row r="145" spans="1:20" ht="15" thickBot="1" x14ac:dyDescent="0.35">
      <c r="A145" s="32" t="s">
        <v>168</v>
      </c>
      <c r="B145" s="2">
        <v>45642.359722222223</v>
      </c>
      <c r="C145" s="12">
        <f t="shared" si="13"/>
        <v>160.8833333333605</v>
      </c>
      <c r="D145">
        <v>285</v>
      </c>
      <c r="E145">
        <v>725.32100000000003</v>
      </c>
      <c r="F145">
        <f t="shared" si="14"/>
        <v>673.79911071501647</v>
      </c>
      <c r="G145">
        <f t="shared" si="15"/>
        <v>242.89661251716052</v>
      </c>
      <c r="H145">
        <v>2.5550000000000002</v>
      </c>
      <c r="I145">
        <f t="shared" si="16"/>
        <v>0.34855989984460234</v>
      </c>
      <c r="J145" s="33">
        <f t="shared" si="17"/>
        <v>0.15933796877370007</v>
      </c>
      <c r="N145" s="34" t="s">
        <v>275</v>
      </c>
      <c r="O145" s="35" cm="1">
        <f t="array" ref="O145:P145">LINEST(O140:O143,N140:N143,FALSE,FALSE)</f>
        <v>1.0764647629622277</v>
      </c>
      <c r="P145" s="36">
        <v>0</v>
      </c>
      <c r="Q145" s="36"/>
      <c r="R145" s="36"/>
      <c r="S145" s="36"/>
      <c r="T145" s="37"/>
    </row>
    <row r="146" spans="1:20" x14ac:dyDescent="0.3">
      <c r="A146" s="32" t="s">
        <v>169</v>
      </c>
      <c r="B146" s="2">
        <v>45642.362500000003</v>
      </c>
      <c r="C146" s="12">
        <f t="shared" si="13"/>
        <v>160.86666666681413</v>
      </c>
      <c r="D146">
        <v>521</v>
      </c>
      <c r="E146">
        <v>897.49400000000003</v>
      </c>
      <c r="F146">
        <f t="shared" si="14"/>
        <v>833.74210738702311</v>
      </c>
      <c r="G146">
        <f t="shared" si="15"/>
        <v>318.7549080865964</v>
      </c>
      <c r="H146">
        <v>0.88949999999999996</v>
      </c>
      <c r="I146">
        <f t="shared" si="16"/>
        <v>0.12134795730402104</v>
      </c>
      <c r="J146" s="33">
        <f t="shared" si="17"/>
        <v>0.12134795730402104</v>
      </c>
    </row>
    <row r="147" spans="1:20" x14ac:dyDescent="0.3">
      <c r="A147" s="32" t="s">
        <v>170</v>
      </c>
      <c r="B147" s="2">
        <v>45642.365972222222</v>
      </c>
      <c r="C147" s="12">
        <f t="shared" si="13"/>
        <v>160.8833333333605</v>
      </c>
      <c r="D147">
        <v>263</v>
      </c>
      <c r="E147">
        <v>1128.5284999999999</v>
      </c>
      <c r="F147">
        <f t="shared" si="14"/>
        <v>1048.3654819266937</v>
      </c>
      <c r="G147">
        <f t="shared" si="15"/>
        <v>434.15868332761238</v>
      </c>
      <c r="H147">
        <v>3.2989999999999999</v>
      </c>
      <c r="I147">
        <f t="shared" si="16"/>
        <v>0.45005835991676835</v>
      </c>
      <c r="J147" s="33">
        <f t="shared" si="17"/>
        <v>0.34437995836891938</v>
      </c>
    </row>
    <row r="148" spans="1:20" x14ac:dyDescent="0.3">
      <c r="A148" s="32" t="s">
        <v>171</v>
      </c>
      <c r="B148" s="2">
        <v>45642.368750000001</v>
      </c>
      <c r="C148" s="12">
        <f t="shared" si="13"/>
        <v>160.8666666666395</v>
      </c>
      <c r="D148">
        <v>442</v>
      </c>
      <c r="E148">
        <v>1071.0129999999999</v>
      </c>
      <c r="F148">
        <f t="shared" si="14"/>
        <v>994.93549333911722</v>
      </c>
      <c r="G148">
        <f t="shared" si="15"/>
        <v>325.6087811088438</v>
      </c>
      <c r="H148">
        <v>3.8475000000000001</v>
      </c>
      <c r="I148">
        <f t="shared" si="16"/>
        <v>0.52488618968771328</v>
      </c>
      <c r="J148" s="33">
        <f t="shared" si="17"/>
        <v>0.32754582593060066</v>
      </c>
    </row>
    <row r="149" spans="1:20" ht="15" thickBot="1" x14ac:dyDescent="0.35">
      <c r="A149" s="32" t="s">
        <v>172</v>
      </c>
      <c r="B149" s="2">
        <v>45642.37222222222</v>
      </c>
      <c r="C149" s="12">
        <f t="shared" si="13"/>
        <v>160.8833333333605</v>
      </c>
      <c r="D149">
        <v>246</v>
      </c>
      <c r="E149">
        <v>660.98450000000003</v>
      </c>
      <c r="F149">
        <f t="shared" si="14"/>
        <v>614.03263975041364</v>
      </c>
      <c r="G149">
        <f t="shared" si="15"/>
        <v>230.52486027054573</v>
      </c>
      <c r="H149">
        <v>0.80600000000000005</v>
      </c>
      <c r="I149">
        <f t="shared" si="16"/>
        <v>0.10995666507817985</v>
      </c>
      <c r="J149" s="33">
        <f t="shared" si="17"/>
        <v>3.6058111139598656E-2</v>
      </c>
    </row>
    <row r="150" spans="1:20" x14ac:dyDescent="0.3">
      <c r="A150" s="32" t="s">
        <v>173</v>
      </c>
      <c r="B150" s="2">
        <v>45642.375</v>
      </c>
      <c r="C150" s="12">
        <f t="shared" si="13"/>
        <v>160.8833333333605</v>
      </c>
      <c r="D150">
        <v>255</v>
      </c>
      <c r="E150">
        <v>1199.5495000000001</v>
      </c>
      <c r="F150">
        <f t="shared" si="14"/>
        <v>1114.3416313034404</v>
      </c>
      <c r="G150">
        <f t="shared" si="15"/>
        <v>371.16148790958209</v>
      </c>
      <c r="H150">
        <v>3.234</v>
      </c>
      <c r="I150">
        <f t="shared" si="16"/>
        <v>0.44119088692659253</v>
      </c>
      <c r="J150" s="33">
        <f t="shared" si="17"/>
        <v>0.13213533834214125</v>
      </c>
      <c r="O150" s="29" t="s">
        <v>301</v>
      </c>
      <c r="P150" s="30" t="s">
        <v>264</v>
      </c>
      <c r="Q150" s="30"/>
      <c r="R150" s="31"/>
    </row>
    <row r="151" spans="1:20" x14ac:dyDescent="0.3">
      <c r="A151" s="32" t="s">
        <v>174</v>
      </c>
      <c r="B151" s="2">
        <v>45642.375</v>
      </c>
      <c r="C151" s="12">
        <f t="shared" si="13"/>
        <v>160.81666666665114</v>
      </c>
      <c r="D151">
        <v>608</v>
      </c>
      <c r="E151">
        <v>809.07</v>
      </c>
      <c r="F151">
        <f t="shared" si="14"/>
        <v>751.59914921282905</v>
      </c>
      <c r="G151">
        <f t="shared" si="15"/>
        <v>278.71336928852344</v>
      </c>
      <c r="H151">
        <v>0.91</v>
      </c>
      <c r="I151">
        <f t="shared" si="16"/>
        <v>0.12414462186246111</v>
      </c>
      <c r="J151" s="33">
        <f t="shared" si="17"/>
        <v>0.12414462186246111</v>
      </c>
      <c r="O151" s="32">
        <v>2</v>
      </c>
      <c r="P151" s="28">
        <v>0.29652777777777778</v>
      </c>
      <c r="Q151" s="28">
        <v>0.3</v>
      </c>
      <c r="R151" s="117">
        <v>0.35</v>
      </c>
      <c r="S151" s="28"/>
    </row>
    <row r="152" spans="1:20" x14ac:dyDescent="0.3">
      <c r="A152" s="32" t="s">
        <v>175</v>
      </c>
      <c r="B152" s="2">
        <v>45642.385416666664</v>
      </c>
      <c r="C152" s="12">
        <f t="shared" si="13"/>
        <v>160.98333333333721</v>
      </c>
      <c r="D152">
        <v>450</v>
      </c>
      <c r="E152">
        <v>824.322</v>
      </c>
      <c r="F152">
        <f t="shared" si="14"/>
        <v>765.76775047575325</v>
      </c>
      <c r="G152">
        <f t="shared" si="15"/>
        <v>306.20496688803598</v>
      </c>
      <c r="H152">
        <v>1.5429999999999999</v>
      </c>
      <c r="I152">
        <f t="shared" si="16"/>
        <v>0.21050016652063458</v>
      </c>
      <c r="J152" s="33">
        <f t="shared" si="17"/>
        <v>0.13736488403118427</v>
      </c>
      <c r="O152" s="32">
        <v>30</v>
      </c>
      <c r="P152" s="28">
        <v>0.3034722222222222</v>
      </c>
      <c r="Q152" s="28">
        <v>0.30694444444444446</v>
      </c>
      <c r="R152" s="117">
        <v>0.38124999999999998</v>
      </c>
      <c r="S152" s="28"/>
    </row>
    <row r="153" spans="1:20" ht="15" thickBot="1" x14ac:dyDescent="0.35">
      <c r="A153" s="32" t="s">
        <v>176</v>
      </c>
      <c r="B153" s="2">
        <v>45642.388194444444</v>
      </c>
      <c r="C153" s="12">
        <f t="shared" si="13"/>
        <v>160.8833333333605</v>
      </c>
      <c r="D153">
        <v>589</v>
      </c>
      <c r="E153">
        <v>714.83249999999998</v>
      </c>
      <c r="F153">
        <f t="shared" si="14"/>
        <v>664.05564268812293</v>
      </c>
      <c r="G153">
        <f t="shared" si="15"/>
        <v>249.71485243974678</v>
      </c>
      <c r="H153" s="43">
        <v>0</v>
      </c>
      <c r="I153">
        <f t="shared" si="16"/>
        <v>0</v>
      </c>
      <c r="J153" s="33">
        <f t="shared" si="17"/>
        <v>-0.10900904059860192</v>
      </c>
      <c r="O153" s="41">
        <v>1000</v>
      </c>
      <c r="P153" s="119">
        <v>0.31111111111111112</v>
      </c>
      <c r="Q153" s="119">
        <v>0.31458333333333333</v>
      </c>
      <c r="R153" s="120">
        <v>0.41597222222222224</v>
      </c>
      <c r="S153" s="28"/>
    </row>
    <row r="154" spans="1:20" x14ac:dyDescent="0.3">
      <c r="A154" s="32" t="s">
        <v>177</v>
      </c>
      <c r="B154" s="2">
        <v>45642.39166666667</v>
      </c>
      <c r="C154" s="12">
        <f t="shared" si="13"/>
        <v>160.8833333333605</v>
      </c>
      <c r="D154">
        <v>603</v>
      </c>
      <c r="E154">
        <v>897.59950000000003</v>
      </c>
      <c r="F154">
        <f t="shared" si="14"/>
        <v>833.84011338185906</v>
      </c>
      <c r="G154">
        <f t="shared" si="15"/>
        <v>332.46667556352986</v>
      </c>
      <c r="H154">
        <v>0</v>
      </c>
      <c r="I154">
        <f t="shared" si="16"/>
        <v>0</v>
      </c>
      <c r="J154" s="33">
        <f t="shared" si="17"/>
        <v>-0.11331111603915783</v>
      </c>
    </row>
    <row r="155" spans="1:20" x14ac:dyDescent="0.3">
      <c r="A155" s="32" t="s">
        <v>178</v>
      </c>
      <c r="B155" s="2">
        <v>45642.394444444442</v>
      </c>
      <c r="C155" s="12">
        <f t="shared" si="13"/>
        <v>160.8833333333605</v>
      </c>
      <c r="D155">
        <v>508</v>
      </c>
      <c r="E155">
        <v>596.45150000000001</v>
      </c>
      <c r="F155">
        <f t="shared" si="14"/>
        <v>554.08362681438655</v>
      </c>
      <c r="G155">
        <f t="shared" si="15"/>
        <v>225.15269409551564</v>
      </c>
      <c r="H155">
        <v>0.96099999999999997</v>
      </c>
      <c r="I155">
        <f t="shared" si="16"/>
        <v>0.13110217759321441</v>
      </c>
      <c r="J155" s="33">
        <f t="shared" si="17"/>
        <v>5.38035962903229E-2</v>
      </c>
    </row>
    <row r="156" spans="1:20" ht="15" thickBot="1" x14ac:dyDescent="0.35">
      <c r="A156" s="32" t="s">
        <v>179</v>
      </c>
      <c r="B156" s="2">
        <v>45642.397916666669</v>
      </c>
      <c r="C156" s="12">
        <f t="shared" si="13"/>
        <v>160.90000000008149</v>
      </c>
      <c r="D156">
        <v>454</v>
      </c>
      <c r="E156">
        <v>537.08299999999997</v>
      </c>
      <c r="F156">
        <f t="shared" si="14"/>
        <v>498.93226279144426</v>
      </c>
      <c r="G156">
        <f t="shared" si="15"/>
        <v>200.73864018689045</v>
      </c>
      <c r="H156">
        <v>0</v>
      </c>
      <c r="I156">
        <f t="shared" si="16"/>
        <v>0</v>
      </c>
      <c r="J156" s="33">
        <f t="shared" si="17"/>
        <v>0</v>
      </c>
      <c r="N156" t="s">
        <v>303</v>
      </c>
    </row>
    <row r="157" spans="1:20" x14ac:dyDescent="0.3">
      <c r="A157" s="32" t="s">
        <v>180</v>
      </c>
      <c r="B157" s="2">
        <v>45642.400694444441</v>
      </c>
      <c r="C157" s="12">
        <f t="shared" si="13"/>
        <v>160.89999999990687</v>
      </c>
      <c r="D157">
        <v>434</v>
      </c>
      <c r="E157">
        <v>348.54599999999999</v>
      </c>
      <c r="F157">
        <f t="shared" si="14"/>
        <v>323.78765380193892</v>
      </c>
      <c r="G157">
        <f t="shared" si="15"/>
        <v>116.82972328801264</v>
      </c>
      <c r="H157">
        <v>0.59599999999999997</v>
      </c>
      <c r="I157">
        <f t="shared" si="16"/>
        <v>8.1307906186842652E-2</v>
      </c>
      <c r="J157" s="33">
        <f t="shared" si="17"/>
        <v>8.1307906186842652E-2</v>
      </c>
      <c r="N157" s="29" t="s">
        <v>301</v>
      </c>
      <c r="O157" s="30" t="s">
        <v>269</v>
      </c>
      <c r="P157" s="30" t="s">
        <v>270</v>
      </c>
      <c r="Q157" s="30" t="s">
        <v>271</v>
      </c>
      <c r="R157" s="30" t="s">
        <v>272</v>
      </c>
      <c r="S157" s="30" t="s">
        <v>273</v>
      </c>
      <c r="T157" s="31" t="s">
        <v>274</v>
      </c>
    </row>
    <row r="158" spans="1:20" x14ac:dyDescent="0.3">
      <c r="A158" s="32" t="s">
        <v>181</v>
      </c>
      <c r="B158" s="2">
        <v>45642.40347222222</v>
      </c>
      <c r="C158" s="12">
        <f>(B158-B33)*24</f>
        <v>160.89999999990687</v>
      </c>
      <c r="D158">
        <v>321</v>
      </c>
      <c r="E158">
        <v>611.44600000000003</v>
      </c>
      <c r="F158">
        <f t="shared" si="14"/>
        <v>568.01301913256884</v>
      </c>
      <c r="G158">
        <f t="shared" si="15"/>
        <v>227.30815856097951</v>
      </c>
      <c r="H158">
        <v>0.96099999999999997</v>
      </c>
      <c r="I158">
        <f t="shared" si="16"/>
        <v>0.13110217759321441</v>
      </c>
      <c r="J158" s="33">
        <f t="shared" si="17"/>
        <v>0.13110217759321441</v>
      </c>
      <c r="N158" s="32">
        <v>0</v>
      </c>
      <c r="O158">
        <v>0</v>
      </c>
      <c r="P158">
        <v>0</v>
      </c>
      <c r="Q158">
        <v>0</v>
      </c>
      <c r="T158" s="33"/>
    </row>
    <row r="159" spans="1:20" x14ac:dyDescent="0.3">
      <c r="A159" s="32" t="s">
        <v>182</v>
      </c>
      <c r="B159" s="2">
        <v>45642.406944444447</v>
      </c>
      <c r="C159" s="12">
        <f t="shared" si="13"/>
        <v>160.90000000008149</v>
      </c>
      <c r="D159">
        <v>574</v>
      </c>
      <c r="E159">
        <v>435.37400000000002</v>
      </c>
      <c r="F159">
        <f t="shared" si="14"/>
        <v>404.44798100212125</v>
      </c>
      <c r="G159">
        <f t="shared" si="15"/>
        <v>155.58323770552485</v>
      </c>
      <c r="H159">
        <v>0</v>
      </c>
      <c r="I159">
        <f>H159/$O$163</f>
        <v>0</v>
      </c>
      <c r="J159" s="33">
        <f t="shared" si="17"/>
        <v>-0.1761075398085625</v>
      </c>
      <c r="N159" s="32">
        <v>2</v>
      </c>
      <c r="O159">
        <f>AVERAGE(P159:T159)</f>
        <v>16.359833333333331</v>
      </c>
      <c r="P159">
        <v>16.927499999999998</v>
      </c>
      <c r="Q159">
        <v>16.488499999999998</v>
      </c>
      <c r="R159">
        <v>15.663500000000001</v>
      </c>
      <c r="T159" s="33"/>
    </row>
    <row r="160" spans="1:20" ht="15" thickBot="1" x14ac:dyDescent="0.35">
      <c r="A160" s="41" t="s">
        <v>183</v>
      </c>
      <c r="B160" s="121">
        <v>45642.409722222219</v>
      </c>
      <c r="C160" s="56">
        <f>(B160-B35)*24</f>
        <v>160.89999999990687</v>
      </c>
      <c r="D160" s="36">
        <v>583</v>
      </c>
      <c r="E160" s="36">
        <v>346.90550000000002</v>
      </c>
      <c r="F160" s="36">
        <f t="shared" si="14"/>
        <v>322.26368380640866</v>
      </c>
      <c r="G160" s="36">
        <f t="shared" si="15"/>
        <v>118.92864121573945</v>
      </c>
      <c r="H160" s="36">
        <v>0.77800000000000002</v>
      </c>
      <c r="I160" s="36">
        <f t="shared" si="16"/>
        <v>0.10613683055933489</v>
      </c>
      <c r="J160" s="37">
        <f t="shared" si="17"/>
        <v>-3.2191516070538134E-3</v>
      </c>
      <c r="N160" s="32">
        <v>30</v>
      </c>
      <c r="O160">
        <f>AVERAGE(P160:Q160)</f>
        <v>215.75725</v>
      </c>
      <c r="P160">
        <v>215.77600000000001</v>
      </c>
      <c r="Q160">
        <v>215.73849999999999</v>
      </c>
      <c r="R160" s="4">
        <v>217.13849999999999</v>
      </c>
      <c r="T160" s="33"/>
    </row>
    <row r="161" spans="14:20" x14ac:dyDescent="0.3">
      <c r="N161" s="32">
        <v>1000</v>
      </c>
      <c r="O161">
        <f>AVERAGE(P161:T161)</f>
        <v>7330.2815000000001</v>
      </c>
      <c r="P161">
        <v>7312.0469999999996</v>
      </c>
      <c r="Q161">
        <v>7397.2545</v>
      </c>
      <c r="R161">
        <v>7281.5429999999997</v>
      </c>
      <c r="T161" s="33"/>
    </row>
    <row r="162" spans="14:20" ht="15" thickBot="1" x14ac:dyDescent="0.35">
      <c r="N162" s="32"/>
      <c r="T162" s="33"/>
    </row>
    <row r="163" spans="14:20" ht="15" thickBot="1" x14ac:dyDescent="0.35">
      <c r="N163" s="34" t="s">
        <v>302</v>
      </c>
      <c r="O163" s="35" cm="1">
        <f t="array" ref="O163:P163">LINEST(O158:O161,N158:N161,FALSE,FALSE)</f>
        <v>7.3301604720998883</v>
      </c>
      <c r="P163" s="36">
        <v>0</v>
      </c>
      <c r="Q163" s="36"/>
      <c r="R163" s="36"/>
      <c r="S163" s="36"/>
      <c r="T163" s="37"/>
    </row>
    <row r="169" spans="14:20" ht="15" thickBot="1" x14ac:dyDescent="0.35"/>
    <row r="170" spans="14:20" x14ac:dyDescent="0.3">
      <c r="N170" s="29" t="s">
        <v>276</v>
      </c>
      <c r="O170" s="39">
        <v>21.8</v>
      </c>
    </row>
    <row r="171" spans="14:20" x14ac:dyDescent="0.3">
      <c r="N171" s="32" t="s">
        <v>277</v>
      </c>
      <c r="O171" s="40">
        <v>988.7</v>
      </c>
    </row>
    <row r="172" spans="14:20" ht="15" thickBot="1" x14ac:dyDescent="0.35">
      <c r="N172" s="41" t="s">
        <v>278</v>
      </c>
      <c r="O172" s="42">
        <v>44.1</v>
      </c>
    </row>
  </sheetData>
  <mergeCells count="1">
    <mergeCell ref="AC1:AU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F0D64-4A5D-4F70-BD32-971828CD9210}">
  <dimension ref="A1:X65"/>
  <sheetViews>
    <sheetView topLeftCell="I1" workbookViewId="0">
      <selection activeCell="T39" sqref="T39"/>
    </sheetView>
  </sheetViews>
  <sheetFormatPr baseColWidth="10" defaultRowHeight="14.4" x14ac:dyDescent="0.3"/>
  <cols>
    <col min="1" max="1" width="11.77734375" bestFit="1" customWidth="1"/>
    <col min="2" max="2" width="10.33203125" bestFit="1" customWidth="1"/>
    <col min="3" max="3" width="12.33203125" bestFit="1" customWidth="1"/>
    <col min="4" max="4" width="12.5546875" bestFit="1" customWidth="1"/>
    <col min="5" max="5" width="32" bestFit="1" customWidth="1"/>
    <col min="6" max="6" width="16.33203125" bestFit="1" customWidth="1"/>
    <col min="7" max="7" width="17.88671875" bestFit="1" customWidth="1"/>
    <col min="8" max="8" width="12.77734375" bestFit="1" customWidth="1"/>
    <col min="9" max="9" width="24.21875" bestFit="1" customWidth="1"/>
    <col min="10" max="10" width="17.33203125" bestFit="1" customWidth="1"/>
    <col min="11" max="11" width="19.21875" bestFit="1" customWidth="1"/>
    <col min="14" max="14" width="12" bestFit="1" customWidth="1"/>
    <col min="15" max="15" width="17.21875" bestFit="1" customWidth="1"/>
    <col min="16" max="16" width="16.77734375" bestFit="1" customWidth="1"/>
    <col min="17" max="17" width="12" bestFit="1" customWidth="1"/>
    <col min="19" max="19" width="24.109375" bestFit="1" customWidth="1"/>
  </cols>
  <sheetData>
    <row r="1" spans="1:24" ht="18" x14ac:dyDescent="0.35">
      <c r="A1" s="3" t="s">
        <v>318</v>
      </c>
    </row>
    <row r="3" spans="1:24" ht="15" thickBot="1" x14ac:dyDescent="0.35">
      <c r="S3" s="12"/>
      <c r="T3" s="53"/>
    </row>
    <row r="4" spans="1:24" x14ac:dyDescent="0.3">
      <c r="I4" s="123" t="s">
        <v>305</v>
      </c>
      <c r="J4" s="31">
        <v>131.21600000000001</v>
      </c>
      <c r="S4" s="12"/>
    </row>
    <row r="5" spans="1:24" x14ac:dyDescent="0.3">
      <c r="I5" s="124" t="s">
        <v>315</v>
      </c>
      <c r="J5" s="33">
        <v>8.3140000000000001</v>
      </c>
      <c r="S5" s="12"/>
      <c r="T5" s="12"/>
    </row>
    <row r="6" spans="1:24" ht="15" thickBot="1" x14ac:dyDescent="0.35">
      <c r="I6" s="125" t="s">
        <v>462</v>
      </c>
      <c r="J6" s="37">
        <f>273.15+15</f>
        <v>288.14999999999998</v>
      </c>
      <c r="S6" s="12"/>
      <c r="U6" s="12"/>
    </row>
    <row r="7" spans="1:24" x14ac:dyDescent="0.3">
      <c r="U7" s="12"/>
    </row>
    <row r="8" spans="1:24" ht="15" thickBot="1" x14ac:dyDescent="0.35"/>
    <row r="9" spans="1:24" ht="15" thickBot="1" x14ac:dyDescent="0.35">
      <c r="A9" s="50" t="s">
        <v>2</v>
      </c>
      <c r="B9" s="51" t="s">
        <v>89</v>
      </c>
      <c r="C9" s="51" t="s">
        <v>127</v>
      </c>
      <c r="D9" s="51" t="s">
        <v>184</v>
      </c>
      <c r="E9" s="51" t="s">
        <v>187</v>
      </c>
      <c r="F9" s="51" t="s">
        <v>188</v>
      </c>
      <c r="G9" s="51" t="s">
        <v>193</v>
      </c>
      <c r="H9" s="51" t="s">
        <v>102</v>
      </c>
      <c r="I9" s="51" t="s">
        <v>310</v>
      </c>
      <c r="J9" s="51" t="s">
        <v>306</v>
      </c>
      <c r="K9" s="51" t="s">
        <v>309</v>
      </c>
      <c r="L9" s="51" t="s">
        <v>307</v>
      </c>
      <c r="M9" s="51" t="s">
        <v>308</v>
      </c>
      <c r="N9" s="51" t="s">
        <v>311</v>
      </c>
      <c r="O9" s="103" t="s">
        <v>312</v>
      </c>
      <c r="P9" s="51" t="s">
        <v>313</v>
      </c>
      <c r="Q9" s="51" t="s">
        <v>314</v>
      </c>
      <c r="R9" s="51" t="s">
        <v>317</v>
      </c>
      <c r="S9" s="52" t="s">
        <v>319</v>
      </c>
      <c r="U9" s="1"/>
      <c r="V9" s="1"/>
      <c r="W9" s="1"/>
      <c r="X9" s="1"/>
    </row>
    <row r="10" spans="1:24" x14ac:dyDescent="0.3">
      <c r="A10" s="32" t="s">
        <v>4</v>
      </c>
      <c r="B10" t="s">
        <v>25</v>
      </c>
      <c r="C10" t="s">
        <v>128</v>
      </c>
      <c r="D10" t="s">
        <v>185</v>
      </c>
      <c r="E10" s="8">
        <v>145.34399999999999</v>
      </c>
      <c r="F10" s="8">
        <v>14.715999999999999</v>
      </c>
      <c r="G10" s="25">
        <f>'3_Pre-incubation'!K12</f>
        <v>1.5179258823636559</v>
      </c>
      <c r="H10" s="25">
        <f t="shared" ref="H10:H65" si="0">F10/(1+G10)</f>
        <v>5.8444929229551548</v>
      </c>
      <c r="I10" s="49">
        <f>($J$4-F10)*10^(-6)</f>
        <v>1.1650000000000001E-4</v>
      </c>
      <c r="J10" s="12">
        <f>'6_GC measurements aerobic'!C120</f>
        <v>46.433333333465271</v>
      </c>
      <c r="K10">
        <v>75.677000000000007</v>
      </c>
      <c r="L10">
        <v>0.99319999999999997</v>
      </c>
      <c r="M10" s="25">
        <f>J10*K10</f>
        <v>3513.9353666766515</v>
      </c>
      <c r="N10" s="12">
        <f>M10*10^(-6)*I10</f>
        <v>4.0937347021782993E-7</v>
      </c>
      <c r="O10">
        <f>'6_GC measurements aerobic'!D8</f>
        <v>798</v>
      </c>
      <c r="P10">
        <f>('6_GC measurements aerobic'!$L$26*100)+('8_Respiration'!O10*100)</f>
        <v>177960</v>
      </c>
      <c r="Q10" s="126">
        <f>N10*P10/($J$5*$J$6)</f>
        <v>3.0409791845646195E-5</v>
      </c>
      <c r="R10" s="12">
        <f>Q10*12*10^6</f>
        <v>364.91750214775436</v>
      </c>
      <c r="S10" s="53">
        <f>R10/J10/H10</f>
        <v>1.344677056089745</v>
      </c>
      <c r="U10" s="228"/>
      <c r="W10" s="12"/>
      <c r="X10" s="12"/>
    </row>
    <row r="11" spans="1:24" x14ac:dyDescent="0.3">
      <c r="A11" s="32" t="s">
        <v>5</v>
      </c>
      <c r="B11" t="s">
        <v>26</v>
      </c>
      <c r="C11" t="s">
        <v>129</v>
      </c>
      <c r="D11" t="s">
        <v>185</v>
      </c>
      <c r="E11">
        <v>148.48500000000001</v>
      </c>
      <c r="F11">
        <v>12.209</v>
      </c>
      <c r="G11" s="25">
        <f>'3_Pre-incubation'!K13</f>
        <v>1.5089581655117073</v>
      </c>
      <c r="H11" s="25">
        <f t="shared" si="0"/>
        <v>4.8661632417095122</v>
      </c>
      <c r="I11" s="49">
        <f t="shared" ref="I11:I65" si="1">($J$4-F11)*10^(-6)</f>
        <v>1.1900699999999999E-4</v>
      </c>
      <c r="J11" s="12">
        <f>'6_GC measurements aerobic'!C121</f>
        <v>46.533333333267365</v>
      </c>
      <c r="K11">
        <v>41.412999999999997</v>
      </c>
      <c r="L11">
        <v>0.99339999999999995</v>
      </c>
      <c r="M11" s="25">
        <f t="shared" ref="M11:M65" si="2">J11*K11</f>
        <v>1927.0849333306012</v>
      </c>
      <c r="N11" s="12">
        <f t="shared" ref="N11:N65" si="3">M11*10^(-6)*I11</f>
        <v>2.2933659666087483E-7</v>
      </c>
      <c r="O11">
        <f>'6_GC measurements aerobic'!D9</f>
        <v>715</v>
      </c>
      <c r="P11">
        <f>('6_GC measurements aerobic'!$L$26*100)+('8_Respiration'!O11*100)</f>
        <v>169660</v>
      </c>
      <c r="Q11" s="126">
        <f t="shared" ref="Q11:Q65" si="4">N11*P11/($J$5*$J$6)</f>
        <v>1.6241426904581681E-5</v>
      </c>
      <c r="R11" s="12">
        <f t="shared" ref="R11:R37" si="5">Q11*12*10^6</f>
        <v>194.89712285498018</v>
      </c>
      <c r="S11" s="53">
        <f t="shared" ref="S11:S65" si="6">R11/J11/H11</f>
        <v>0.86070552459380578</v>
      </c>
      <c r="U11" s="228"/>
      <c r="W11" s="12"/>
      <c r="X11" s="12"/>
    </row>
    <row r="12" spans="1:24" x14ac:dyDescent="0.3">
      <c r="A12" s="32" t="s">
        <v>6</v>
      </c>
      <c r="B12" t="s">
        <v>27</v>
      </c>
      <c r="C12" t="s">
        <v>130</v>
      </c>
      <c r="D12" t="s">
        <v>185</v>
      </c>
      <c r="E12">
        <v>146.56800000000001</v>
      </c>
      <c r="F12">
        <v>16.042000000000002</v>
      </c>
      <c r="G12" s="25">
        <f>'3_Pre-incubation'!K14</f>
        <v>1.5298493196155001</v>
      </c>
      <c r="H12" s="25">
        <f t="shared" si="0"/>
        <v>6.3410891216391301</v>
      </c>
      <c r="I12" s="49">
        <f t="shared" si="1"/>
        <v>1.1517400000000001E-4</v>
      </c>
      <c r="J12" s="12">
        <f>'6_GC measurements aerobic'!C122</f>
        <v>46.416666666569654</v>
      </c>
      <c r="K12">
        <v>100.58</v>
      </c>
      <c r="L12">
        <v>0.99860000000000004</v>
      </c>
      <c r="M12" s="25">
        <f t="shared" si="2"/>
        <v>4668.5883333235761</v>
      </c>
      <c r="N12" s="12">
        <f t="shared" si="3"/>
        <v>5.3769999270220951E-7</v>
      </c>
      <c r="O12">
        <f>'6_GC measurements aerobic'!D10</f>
        <v>697</v>
      </c>
      <c r="P12">
        <f>('6_GC measurements aerobic'!$L$26*100)+('8_Respiration'!O12*100)</f>
        <v>167860</v>
      </c>
      <c r="Q12" s="126">
        <f t="shared" si="4"/>
        <v>3.7675463619060204E-5</v>
      </c>
      <c r="R12" s="12">
        <f t="shared" si="5"/>
        <v>452.10556342872246</v>
      </c>
      <c r="S12" s="205">
        <f t="shared" si="6"/>
        <v>1.5360383016622563</v>
      </c>
      <c r="U12" s="228"/>
      <c r="W12" s="12"/>
      <c r="X12" s="12"/>
    </row>
    <row r="13" spans="1:24" x14ac:dyDescent="0.3">
      <c r="A13" s="32" t="s">
        <v>7</v>
      </c>
      <c r="B13" t="s">
        <v>28</v>
      </c>
      <c r="C13" t="s">
        <v>131</v>
      </c>
      <c r="D13" t="s">
        <v>185</v>
      </c>
      <c r="E13">
        <v>145.041</v>
      </c>
      <c r="F13">
        <v>15.372</v>
      </c>
      <c r="G13" s="25">
        <f>'3_Pre-incubation'!K15</f>
        <v>1.5656928467890334</v>
      </c>
      <c r="H13" s="25">
        <f t="shared" si="0"/>
        <v>5.9913640945906952</v>
      </c>
      <c r="I13" s="49">
        <f t="shared" si="1"/>
        <v>1.15844E-4</v>
      </c>
      <c r="J13" s="12">
        <f>'6_GC measurements aerobic'!C123</f>
        <v>46.450000000011642</v>
      </c>
      <c r="K13">
        <v>314.19</v>
      </c>
      <c r="L13">
        <v>0.99919999999999998</v>
      </c>
      <c r="M13" s="25">
        <f t="shared" si="2"/>
        <v>14594.125500003658</v>
      </c>
      <c r="N13" s="12">
        <f t="shared" si="3"/>
        <v>1.6906418744224236E-6</v>
      </c>
      <c r="O13">
        <f>'6_GC measurements aerobic'!D11</f>
        <v>814</v>
      </c>
      <c r="P13">
        <f>('6_GC measurements aerobic'!$L$26*100)+('8_Respiration'!O13*100)</f>
        <v>179560</v>
      </c>
      <c r="Q13" s="126">
        <f t="shared" si="4"/>
        <v>1.267163264776532E-4</v>
      </c>
      <c r="R13" s="12">
        <f t="shared" si="5"/>
        <v>1520.5959177318384</v>
      </c>
      <c r="S13" s="205">
        <f t="shared" si="6"/>
        <v>5.4638955608553443</v>
      </c>
      <c r="U13" s="228"/>
      <c r="W13" s="12"/>
      <c r="X13" s="12"/>
    </row>
    <row r="14" spans="1:24" x14ac:dyDescent="0.3">
      <c r="A14" s="32" t="s">
        <v>8</v>
      </c>
      <c r="B14" t="s">
        <v>29</v>
      </c>
      <c r="C14" t="s">
        <v>132</v>
      </c>
      <c r="D14" t="s">
        <v>185</v>
      </c>
      <c r="E14">
        <v>146.02099999999999</v>
      </c>
      <c r="F14">
        <v>15.25</v>
      </c>
      <c r="G14" s="25">
        <f>'3_Pre-incubation'!K16</f>
        <v>1.5108375068999622</v>
      </c>
      <c r="H14" s="25">
        <f t="shared" si="0"/>
        <v>6.0736706210943163</v>
      </c>
      <c r="I14" s="49">
        <f t="shared" si="1"/>
        <v>1.1596600000000001E-4</v>
      </c>
      <c r="J14" s="12">
        <f>'6_GC measurements aerobic'!C124</f>
        <v>46.649999999965075</v>
      </c>
      <c r="K14">
        <v>484.46</v>
      </c>
      <c r="L14">
        <v>0.99870000000000003</v>
      </c>
      <c r="M14" s="25">
        <f t="shared" si="2"/>
        <v>22600.058999983081</v>
      </c>
      <c r="N14" s="12">
        <f t="shared" si="3"/>
        <v>2.6208384419920378E-6</v>
      </c>
      <c r="O14">
        <f>'6_GC measurements aerobic'!D12</f>
        <v>818</v>
      </c>
      <c r="P14">
        <f>('6_GC measurements aerobic'!$L$26*100)+('8_Respiration'!O14*100)</f>
        <v>179960</v>
      </c>
      <c r="Q14" s="126">
        <f t="shared" si="4"/>
        <v>1.9687364890434914E-4</v>
      </c>
      <c r="R14" s="12">
        <f t="shared" si="5"/>
        <v>2362.4837868521895</v>
      </c>
      <c r="S14" s="205">
        <f t="shared" si="6"/>
        <v>8.3380779807439076</v>
      </c>
      <c r="U14" s="228"/>
      <c r="W14" s="12"/>
      <c r="X14" s="12"/>
    </row>
    <row r="15" spans="1:24" x14ac:dyDescent="0.3">
      <c r="A15" s="32" t="s">
        <v>9</v>
      </c>
      <c r="B15" t="s">
        <v>40</v>
      </c>
      <c r="C15" t="s">
        <v>133</v>
      </c>
      <c r="D15" t="s">
        <v>185</v>
      </c>
      <c r="E15">
        <v>144.80699999999999</v>
      </c>
      <c r="F15">
        <v>15.063000000000001</v>
      </c>
      <c r="G15" s="25">
        <f>'3_Pre-incubation'!K17</f>
        <v>1.5079123646674035</v>
      </c>
      <c r="H15" s="25">
        <f t="shared" si="0"/>
        <v>6.0061907314682577</v>
      </c>
      <c r="I15" s="49">
        <f t="shared" si="1"/>
        <v>1.16153E-4</v>
      </c>
      <c r="J15" s="12">
        <f>'6_GC measurements aerobic'!C125</f>
        <v>46.516666666720994</v>
      </c>
      <c r="K15">
        <v>80.841999999999999</v>
      </c>
      <c r="L15">
        <v>0.99850000000000005</v>
      </c>
      <c r="M15" s="25">
        <f t="shared" si="2"/>
        <v>3760.5003666710586</v>
      </c>
      <c r="N15" s="12">
        <f t="shared" si="3"/>
        <v>4.3679339908994344E-7</v>
      </c>
      <c r="O15">
        <f>'6_GC measurements aerobic'!D13</f>
        <v>823</v>
      </c>
      <c r="P15">
        <f>('6_GC measurements aerobic'!$L$26*100)+('8_Respiration'!O15*100)</f>
        <v>180460</v>
      </c>
      <c r="Q15" s="126">
        <f t="shared" si="4"/>
        <v>3.2902460433774791E-5</v>
      </c>
      <c r="R15" s="12">
        <f t="shared" si="5"/>
        <v>394.8295252052975</v>
      </c>
      <c r="S15" s="205">
        <f t="shared" si="6"/>
        <v>1.4131944267569143</v>
      </c>
      <c r="U15" s="228"/>
      <c r="W15" s="12"/>
      <c r="X15" s="12"/>
    </row>
    <row r="16" spans="1:24" x14ac:dyDescent="0.3">
      <c r="A16" s="32" t="s">
        <v>10</v>
      </c>
      <c r="B16" t="s">
        <v>31</v>
      </c>
      <c r="C16" t="s">
        <v>134</v>
      </c>
      <c r="D16" t="s">
        <v>185</v>
      </c>
      <c r="E16">
        <v>144.73500000000001</v>
      </c>
      <c r="F16">
        <v>15.548</v>
      </c>
      <c r="G16" s="25">
        <f>'3_Pre-incubation'!K18</f>
        <v>1.4988381072480601</v>
      </c>
      <c r="H16" s="25">
        <f t="shared" si="0"/>
        <v>6.2220917613277562</v>
      </c>
      <c r="I16" s="49">
        <f t="shared" si="1"/>
        <v>1.15668E-4</v>
      </c>
      <c r="J16" s="12">
        <f>'6_GC measurements aerobic'!C126</f>
        <v>46.566666666709352</v>
      </c>
      <c r="K16">
        <v>28.504000000000001</v>
      </c>
      <c r="L16">
        <v>0.97970000000000002</v>
      </c>
      <c r="M16" s="25">
        <f t="shared" si="2"/>
        <v>1327.3362666678834</v>
      </c>
      <c r="N16" s="12">
        <f t="shared" si="3"/>
        <v>1.5353033129294072E-7</v>
      </c>
      <c r="O16">
        <f>'6_GC measurements aerobic'!D14</f>
        <v>807</v>
      </c>
      <c r="P16">
        <f>('6_GC measurements aerobic'!$L$26*100)+('8_Respiration'!O16*100)</f>
        <v>178860</v>
      </c>
      <c r="Q16" s="126">
        <f t="shared" si="4"/>
        <v>1.1462484710517105E-5</v>
      </c>
      <c r="R16" s="12">
        <f t="shared" si="5"/>
        <v>137.54981652620526</v>
      </c>
      <c r="S16" s="53">
        <f t="shared" si="6"/>
        <v>0.47473194035228056</v>
      </c>
      <c r="U16" s="228"/>
      <c r="W16" s="12"/>
      <c r="X16" s="12"/>
    </row>
    <row r="17" spans="1:24" x14ac:dyDescent="0.3">
      <c r="A17" s="32" t="s">
        <v>11</v>
      </c>
      <c r="B17" t="s">
        <v>32</v>
      </c>
      <c r="C17" t="s">
        <v>135</v>
      </c>
      <c r="D17" t="s">
        <v>185</v>
      </c>
      <c r="E17">
        <v>144.67400000000001</v>
      </c>
      <c r="F17">
        <v>15.054</v>
      </c>
      <c r="G17" s="25">
        <f>'3_Pre-incubation'!K19</f>
        <v>1.568276475879389</v>
      </c>
      <c r="H17" s="25">
        <f t="shared" si="0"/>
        <v>5.8615184702205569</v>
      </c>
      <c r="I17" s="49">
        <f t="shared" si="1"/>
        <v>1.16162E-4</v>
      </c>
      <c r="J17" s="12">
        <f>'6_GC measurements aerobic'!C127</f>
        <v>46.566666666534729</v>
      </c>
      <c r="K17">
        <v>58.505000000000003</v>
      </c>
      <c r="L17">
        <v>0.99229999999999996</v>
      </c>
      <c r="M17" s="25">
        <f t="shared" si="2"/>
        <v>2724.3828333256147</v>
      </c>
      <c r="N17" s="12">
        <f t="shared" si="3"/>
        <v>3.1646975868477007E-7</v>
      </c>
      <c r="O17">
        <f>'6_GC measurements aerobic'!D15</f>
        <v>810</v>
      </c>
      <c r="P17">
        <f>('6_GC measurements aerobic'!$L$26*100)+('8_Respiration'!O17*100)</f>
        <v>179160</v>
      </c>
      <c r="Q17" s="126">
        <f t="shared" si="4"/>
        <v>2.3667077099751553E-5</v>
      </c>
      <c r="R17" s="12">
        <f t="shared" si="5"/>
        <v>284.00492519701862</v>
      </c>
      <c r="S17" s="53">
        <f t="shared" si="6"/>
        <v>1.0404964011012825</v>
      </c>
    </row>
    <row r="18" spans="1:24" x14ac:dyDescent="0.3">
      <c r="A18" s="32" t="s">
        <v>12</v>
      </c>
      <c r="B18" t="s">
        <v>33</v>
      </c>
      <c r="C18" t="s">
        <v>136</v>
      </c>
      <c r="D18" t="s">
        <v>185</v>
      </c>
      <c r="E18">
        <v>147.58799999999999</v>
      </c>
      <c r="F18">
        <v>14.821</v>
      </c>
      <c r="G18" s="25">
        <f>'3_Pre-incubation'!K20</f>
        <v>1.5300946725861893</v>
      </c>
      <c r="H18" s="25">
        <f t="shared" si="0"/>
        <v>5.8578835648273992</v>
      </c>
      <c r="I18" s="49">
        <f t="shared" si="1"/>
        <v>1.16395E-4</v>
      </c>
      <c r="J18" s="12">
        <f>'6_GC measurements aerobic'!C128</f>
        <v>46.716666666674428</v>
      </c>
      <c r="K18">
        <v>97.921000000000006</v>
      </c>
      <c r="L18">
        <v>0.99329999999999996</v>
      </c>
      <c r="M18" s="25">
        <f t="shared" si="2"/>
        <v>4574.5427166674272</v>
      </c>
      <c r="N18" s="12">
        <f t="shared" si="3"/>
        <v>5.324538995065051E-7</v>
      </c>
      <c r="O18">
        <f>'6_GC measurements aerobic'!D16</f>
        <v>821</v>
      </c>
      <c r="P18">
        <f>('6_GC measurements aerobic'!$L$26*100)+('8_Respiration'!O18*100)</f>
        <v>180260</v>
      </c>
      <c r="Q18" s="126">
        <f t="shared" si="4"/>
        <v>4.0063854931590215E-5</v>
      </c>
      <c r="R18" s="12">
        <f t="shared" si="5"/>
        <v>480.76625917908257</v>
      </c>
      <c r="S18" s="53">
        <f t="shared" si="6"/>
        <v>1.7567962599971785</v>
      </c>
    </row>
    <row r="19" spans="1:24" x14ac:dyDescent="0.3">
      <c r="A19" s="32" t="s">
        <v>13</v>
      </c>
      <c r="B19" t="s">
        <v>34</v>
      </c>
      <c r="C19" t="s">
        <v>137</v>
      </c>
      <c r="D19" t="s">
        <v>185</v>
      </c>
      <c r="E19">
        <v>144.79</v>
      </c>
      <c r="F19">
        <v>14.621</v>
      </c>
      <c r="G19" s="25">
        <f>'3_Pre-incubation'!K21</f>
        <v>1.4972164793004679</v>
      </c>
      <c r="H19" s="25">
        <f t="shared" si="0"/>
        <v>5.8549189151978149</v>
      </c>
      <c r="I19" s="49">
        <f t="shared" si="1"/>
        <v>1.16595E-4</v>
      </c>
      <c r="J19" s="12">
        <f>'6_GC measurements aerobic'!C129</f>
        <v>46.950000000069849</v>
      </c>
      <c r="K19">
        <v>78.045000000000002</v>
      </c>
      <c r="L19">
        <v>0.99629999999999996</v>
      </c>
      <c r="M19" s="25">
        <f t="shared" si="2"/>
        <v>3664.2127500054517</v>
      </c>
      <c r="N19" s="12">
        <f t="shared" si="3"/>
        <v>4.2722888558688565E-7</v>
      </c>
      <c r="O19">
        <f>'6_GC measurements aerobic'!D17</f>
        <v>815</v>
      </c>
      <c r="P19">
        <f>('6_GC measurements aerobic'!$L$26*100)+('8_Respiration'!O19*100)</f>
        <v>179660</v>
      </c>
      <c r="Q19" s="126">
        <f t="shared" si="4"/>
        <v>3.2039325126866899E-5</v>
      </c>
      <c r="R19" s="12">
        <f t="shared" si="5"/>
        <v>384.47190152240279</v>
      </c>
      <c r="S19" s="53">
        <f t="shared" si="6"/>
        <v>1.3986470192418061</v>
      </c>
    </row>
    <row r="20" spans="1:24" x14ac:dyDescent="0.3">
      <c r="A20" s="32" t="s">
        <v>14</v>
      </c>
      <c r="B20" t="s">
        <v>35</v>
      </c>
      <c r="C20" t="s">
        <v>138</v>
      </c>
      <c r="D20" t="s">
        <v>185</v>
      </c>
      <c r="E20" s="8">
        <v>145.98400000000001</v>
      </c>
      <c r="F20" s="8">
        <v>12.425000000000001</v>
      </c>
      <c r="G20" s="25">
        <f>'3_Pre-incubation'!K22</f>
        <v>1.5136847373382352</v>
      </c>
      <c r="H20" s="25">
        <f t="shared" si="0"/>
        <v>4.9429428501670225</v>
      </c>
      <c r="I20" s="49">
        <f t="shared" si="1"/>
        <v>1.1879100000000001E-4</v>
      </c>
      <c r="J20" s="12">
        <f>'6_GC measurements aerobic'!C130</f>
        <v>46.916666666802485</v>
      </c>
      <c r="K20">
        <v>109.66</v>
      </c>
      <c r="L20">
        <v>0.99580000000000002</v>
      </c>
      <c r="M20" s="25">
        <f t="shared" si="2"/>
        <v>5144.8816666815601</v>
      </c>
      <c r="N20" s="12">
        <f t="shared" si="3"/>
        <v>6.1116563806676922E-7</v>
      </c>
      <c r="O20">
        <f>'6_GC measurements aerobic'!D18</f>
        <v>715</v>
      </c>
      <c r="P20">
        <f>('6_GC measurements aerobic'!$L$26*100)+('8_Respiration'!O20*100)</f>
        <v>169660</v>
      </c>
      <c r="Q20" s="126">
        <f t="shared" si="4"/>
        <v>4.3282241830472236E-5</v>
      </c>
      <c r="R20" s="12">
        <f t="shared" si="5"/>
        <v>519.38690196566677</v>
      </c>
      <c r="S20" s="53">
        <f t="shared" si="6"/>
        <v>2.2396402055513884</v>
      </c>
      <c r="U20" s="12"/>
    </row>
    <row r="21" spans="1:24" x14ac:dyDescent="0.3">
      <c r="A21" s="32" t="s">
        <v>15</v>
      </c>
      <c r="B21" t="s">
        <v>36</v>
      </c>
      <c r="C21" t="s">
        <v>139</v>
      </c>
      <c r="D21" t="s">
        <v>185</v>
      </c>
      <c r="E21">
        <v>145.203</v>
      </c>
      <c r="F21">
        <v>12.89</v>
      </c>
      <c r="G21" s="25">
        <f>'3_Pre-incubation'!K23</f>
        <v>1.5060919106331294</v>
      </c>
      <c r="H21" s="25">
        <f t="shared" si="0"/>
        <v>5.1434665844891221</v>
      </c>
      <c r="I21" s="49">
        <f t="shared" si="1"/>
        <v>1.1832600000000001E-4</v>
      </c>
      <c r="J21" s="12">
        <f>'6_GC measurements aerobic'!C131</f>
        <v>46.949999999895226</v>
      </c>
      <c r="K21">
        <v>34.752000000000002</v>
      </c>
      <c r="L21">
        <v>0.99590000000000001</v>
      </c>
      <c r="M21" s="25">
        <f t="shared" si="2"/>
        <v>1631.606399996359</v>
      </c>
      <c r="N21" s="12">
        <f t="shared" si="3"/>
        <v>1.9306145888596915E-7</v>
      </c>
      <c r="O21">
        <f>'6_GC measurements aerobic'!D19</f>
        <v>845</v>
      </c>
      <c r="P21">
        <f>('6_GC measurements aerobic'!$L$26*100)+('8_Respiration'!O21*100)</f>
        <v>182660</v>
      </c>
      <c r="Q21" s="126">
        <f t="shared" si="4"/>
        <v>1.4720087544325584E-5</v>
      </c>
      <c r="R21" s="12">
        <f t="shared" si="5"/>
        <v>176.64105053190701</v>
      </c>
      <c r="S21" s="53">
        <f t="shared" si="6"/>
        <v>0.73147606448723224</v>
      </c>
      <c r="U21" s="12"/>
    </row>
    <row r="22" spans="1:24" x14ac:dyDescent="0.3">
      <c r="A22" s="32" t="s">
        <v>16</v>
      </c>
      <c r="B22" t="s">
        <v>37</v>
      </c>
      <c r="C22" t="s">
        <v>140</v>
      </c>
      <c r="D22" t="s">
        <v>185</v>
      </c>
      <c r="E22">
        <v>145.24</v>
      </c>
      <c r="F22">
        <v>14.891999999999999</v>
      </c>
      <c r="G22" s="25">
        <f>'3_Pre-incubation'!K24</f>
        <v>1.5224654205355705</v>
      </c>
      <c r="H22" s="25">
        <f t="shared" si="0"/>
        <v>5.9037479280243721</v>
      </c>
      <c r="I22" s="49">
        <f t="shared" si="1"/>
        <v>1.1632400000000001E-4</v>
      </c>
      <c r="J22" s="12">
        <f>'6_GC measurements aerobic'!C132</f>
        <v>46.950000000069849</v>
      </c>
      <c r="K22">
        <v>72.382999999999996</v>
      </c>
      <c r="L22">
        <v>0.99509999999999998</v>
      </c>
      <c r="M22" s="25">
        <f t="shared" si="2"/>
        <v>3398.3818500050556</v>
      </c>
      <c r="N22" s="12">
        <f t="shared" si="3"/>
        <v>3.9531337031998809E-7</v>
      </c>
      <c r="O22">
        <f>'6_GC measurements aerobic'!D20</f>
        <v>783</v>
      </c>
      <c r="P22">
        <f>('6_GC measurements aerobic'!$L$26*100)+('8_Respiration'!O22*100)</f>
        <v>176460</v>
      </c>
      <c r="Q22" s="126">
        <f t="shared" si="4"/>
        <v>2.9117838581413137E-5</v>
      </c>
      <c r="R22" s="12">
        <f t="shared" si="5"/>
        <v>349.41406297695767</v>
      </c>
      <c r="S22" s="53">
        <f t="shared" si="6"/>
        <v>1.2605990555598499</v>
      </c>
      <c r="W22" s="12"/>
    </row>
    <row r="23" spans="1:24" x14ac:dyDescent="0.3">
      <c r="A23" s="32" t="s">
        <v>17</v>
      </c>
      <c r="B23" t="s">
        <v>38</v>
      </c>
      <c r="C23" t="s">
        <v>141</v>
      </c>
      <c r="D23" t="s">
        <v>185</v>
      </c>
      <c r="E23">
        <v>146.31399999999999</v>
      </c>
      <c r="F23">
        <v>13.888999999999999</v>
      </c>
      <c r="G23" s="25">
        <f>'3_Pre-incubation'!K25</f>
        <v>1.4957970265535032</v>
      </c>
      <c r="H23" s="25">
        <f t="shared" si="0"/>
        <v>5.5649557444900086</v>
      </c>
      <c r="I23" s="49">
        <f t="shared" si="1"/>
        <v>1.1732700000000001E-4</v>
      </c>
      <c r="J23" s="12">
        <f>'6_GC measurements aerobic'!C133</f>
        <v>46.983333333337214</v>
      </c>
      <c r="K23">
        <v>58.274000000000001</v>
      </c>
      <c r="L23">
        <v>0.9929</v>
      </c>
      <c r="M23" s="25">
        <f t="shared" si="2"/>
        <v>2737.906766666893</v>
      </c>
      <c r="N23" s="12">
        <f t="shared" si="3"/>
        <v>3.2123038721272655E-7</v>
      </c>
      <c r="O23">
        <f>'6_GC measurements aerobic'!D21</f>
        <v>828</v>
      </c>
      <c r="P23">
        <f>('6_GC measurements aerobic'!$L$26*100)+('8_Respiration'!O23*100)</f>
        <v>180960</v>
      </c>
      <c r="Q23" s="126">
        <f t="shared" si="4"/>
        <v>2.4264456316380186E-5</v>
      </c>
      <c r="R23" s="12">
        <f t="shared" si="5"/>
        <v>291.17347579656223</v>
      </c>
      <c r="S23" s="53">
        <f t="shared" si="6"/>
        <v>1.1136437147773315</v>
      </c>
      <c r="W23" s="12"/>
    </row>
    <row r="24" spans="1:24" x14ac:dyDescent="0.3">
      <c r="A24" s="32" t="s">
        <v>23</v>
      </c>
      <c r="B24" t="s">
        <v>39</v>
      </c>
      <c r="C24" t="s">
        <v>142</v>
      </c>
      <c r="D24" t="s">
        <v>185</v>
      </c>
      <c r="E24">
        <v>145.00399999999999</v>
      </c>
      <c r="F24">
        <v>13.67</v>
      </c>
      <c r="G24" s="25">
        <f>'3_Pre-incubation'!K26</f>
        <v>1.5241181713181773</v>
      </c>
      <c r="H24" s="25">
        <f t="shared" si="0"/>
        <v>5.4157527786668878</v>
      </c>
      <c r="I24" s="49">
        <f t="shared" si="1"/>
        <v>1.17546E-4</v>
      </c>
      <c r="J24" s="12">
        <f>'6_GC measurements aerobic'!C134</f>
        <v>47.000000000058208</v>
      </c>
      <c r="K24">
        <v>82.668999999999997</v>
      </c>
      <c r="L24">
        <v>0.99399999999999999</v>
      </c>
      <c r="M24" s="25">
        <f t="shared" si="2"/>
        <v>3885.4430000048119</v>
      </c>
      <c r="N24" s="12">
        <f t="shared" si="3"/>
        <v>4.5671828287856565E-7</v>
      </c>
      <c r="O24">
        <f>'6_GC measurements aerobic'!D22</f>
        <v>719</v>
      </c>
      <c r="P24">
        <f>('6_GC measurements aerobic'!$L$26*100)+('8_Respiration'!O24*100)</f>
        <v>170060</v>
      </c>
      <c r="Q24" s="126">
        <f t="shared" si="4"/>
        <v>3.2420665683617175E-5</v>
      </c>
      <c r="R24" s="12">
        <f t="shared" si="5"/>
        <v>389.04798820340608</v>
      </c>
      <c r="S24" s="53">
        <f t="shared" si="6"/>
        <v>1.528433277619544</v>
      </c>
      <c r="W24" s="12"/>
    </row>
    <row r="25" spans="1:24" x14ac:dyDescent="0.3">
      <c r="A25" s="32" t="s">
        <v>18</v>
      </c>
      <c r="B25" t="s">
        <v>30</v>
      </c>
      <c r="C25" t="s">
        <v>143</v>
      </c>
      <c r="D25" t="s">
        <v>185</v>
      </c>
      <c r="E25">
        <v>146.12700000000001</v>
      </c>
      <c r="F25">
        <v>15.952</v>
      </c>
      <c r="G25" s="25">
        <f>'3_Pre-incubation'!K27</f>
        <v>1.5007423382891505</v>
      </c>
      <c r="H25" s="25">
        <f t="shared" si="0"/>
        <v>6.3789058775696779</v>
      </c>
      <c r="I25" s="49">
        <f t="shared" si="1"/>
        <v>1.15264E-4</v>
      </c>
      <c r="J25" s="12">
        <f>'6_GC measurements aerobic'!C135</f>
        <v>47.116666666755918</v>
      </c>
      <c r="K25">
        <v>122.66</v>
      </c>
      <c r="L25">
        <v>0.99909999999999999</v>
      </c>
      <c r="M25" s="25">
        <f t="shared" si="2"/>
        <v>5779.3303333442809</v>
      </c>
      <c r="N25" s="12">
        <f t="shared" si="3"/>
        <v>6.6614873154259525E-7</v>
      </c>
      <c r="O25">
        <f>'6_GC measurements aerobic'!D23</f>
        <v>844</v>
      </c>
      <c r="P25">
        <f>('6_GC measurements aerobic'!$L$26*100)+('8_Respiration'!O25*100)</f>
        <v>182560</v>
      </c>
      <c r="Q25" s="126">
        <f t="shared" si="4"/>
        <v>5.0763106139890017E-5</v>
      </c>
      <c r="R25" s="12">
        <f t="shared" si="5"/>
        <v>609.15727367868021</v>
      </c>
      <c r="S25" s="53">
        <f t="shared" si="6"/>
        <v>2.0267896698969134</v>
      </c>
      <c r="W25" s="12"/>
    </row>
    <row r="26" spans="1:24" x14ac:dyDescent="0.3">
      <c r="A26" s="32" t="s">
        <v>19</v>
      </c>
      <c r="B26" t="s">
        <v>41</v>
      </c>
      <c r="C26" t="s">
        <v>144</v>
      </c>
      <c r="D26" t="s">
        <v>185</v>
      </c>
      <c r="E26">
        <v>147.28700000000001</v>
      </c>
      <c r="F26">
        <v>14.223000000000001</v>
      </c>
      <c r="G26" s="25">
        <f>'3_Pre-incubation'!K28</f>
        <v>1.5226037535342483</v>
      </c>
      <c r="H26" s="25">
        <f t="shared" si="0"/>
        <v>5.6382220077462115</v>
      </c>
      <c r="I26" s="49">
        <f t="shared" si="1"/>
        <v>1.1699300000000001E-4</v>
      </c>
      <c r="J26" s="12">
        <f>'6_GC measurements aerobic'!C136</f>
        <v>47.266666666720994</v>
      </c>
      <c r="K26">
        <v>29.425000000000001</v>
      </c>
      <c r="L26">
        <v>0.99070000000000003</v>
      </c>
      <c r="M26" s="25">
        <f t="shared" si="2"/>
        <v>1390.8216666682654</v>
      </c>
      <c r="N26" s="12">
        <f t="shared" si="3"/>
        <v>1.6271639924852037E-7</v>
      </c>
      <c r="O26">
        <f>'6_GC measurements aerobic'!D24</f>
        <v>827</v>
      </c>
      <c r="P26">
        <f>('6_GC measurements aerobic'!$L$26*100)+('8_Respiration'!O26*100)</f>
        <v>180860</v>
      </c>
      <c r="Q26" s="126">
        <f t="shared" si="4"/>
        <v>1.2284152734849754E-5</v>
      </c>
      <c r="R26" s="12">
        <f t="shared" si="5"/>
        <v>147.40983281819703</v>
      </c>
      <c r="S26" s="53">
        <f t="shared" si="6"/>
        <v>0.5531326634692777</v>
      </c>
    </row>
    <row r="27" spans="1:24" x14ac:dyDescent="0.3">
      <c r="A27" s="32" t="s">
        <v>20</v>
      </c>
      <c r="B27" t="s">
        <v>42</v>
      </c>
      <c r="C27" t="s">
        <v>145</v>
      </c>
      <c r="D27" t="s">
        <v>185</v>
      </c>
      <c r="E27">
        <v>146.86000000000001</v>
      </c>
      <c r="F27">
        <v>13.397</v>
      </c>
      <c r="G27" s="25">
        <f>'3_Pre-incubation'!K29</f>
        <v>1.5411935815025437</v>
      </c>
      <c r="H27" s="25">
        <f t="shared" si="0"/>
        <v>5.271932094240019</v>
      </c>
      <c r="I27" s="49">
        <f t="shared" si="1"/>
        <v>1.1781899999999999E-4</v>
      </c>
      <c r="J27" s="12">
        <f>'6_GC measurements aerobic'!C137</f>
        <v>47.133333333302289</v>
      </c>
      <c r="K27">
        <v>46.396999999999998</v>
      </c>
      <c r="L27">
        <v>0.99329999999999996</v>
      </c>
      <c r="M27" s="25">
        <f t="shared" si="2"/>
        <v>2186.8452666652261</v>
      </c>
      <c r="N27" s="12">
        <f t="shared" si="3"/>
        <v>2.5765192247323023E-7</v>
      </c>
      <c r="O27">
        <f>'6_GC measurements aerobic'!D25</f>
        <v>748</v>
      </c>
      <c r="P27">
        <f>('6_GC measurements aerobic'!$L$26*100)+('8_Respiration'!O27*100)</f>
        <v>172960</v>
      </c>
      <c r="Q27" s="126">
        <f t="shared" si="4"/>
        <v>1.8601605077645794E-5</v>
      </c>
      <c r="R27" s="12">
        <f t="shared" si="5"/>
        <v>223.21926093174955</v>
      </c>
      <c r="S27" s="53">
        <f t="shared" si="6"/>
        <v>0.89832544971363126</v>
      </c>
    </row>
    <row r="28" spans="1:24" x14ac:dyDescent="0.3">
      <c r="A28" s="32" t="s">
        <v>21</v>
      </c>
      <c r="B28" t="s">
        <v>43</v>
      </c>
      <c r="C28" t="s">
        <v>146</v>
      </c>
      <c r="D28" t="s">
        <v>185</v>
      </c>
      <c r="E28">
        <v>146.386</v>
      </c>
      <c r="F28">
        <v>11.172000000000001</v>
      </c>
      <c r="G28" s="25">
        <f>'3_Pre-incubation'!K30</f>
        <v>1.5510871945370068</v>
      </c>
      <c r="H28" s="25">
        <f t="shared" si="0"/>
        <v>4.3793093485491745</v>
      </c>
      <c r="I28" s="49">
        <f t="shared" si="1"/>
        <v>1.20044E-4</v>
      </c>
      <c r="J28" s="12">
        <f>'6_GC measurements aerobic'!C138</f>
        <v>47.216666666732635</v>
      </c>
      <c r="K28">
        <v>46.365000000000002</v>
      </c>
      <c r="L28">
        <v>0.99629999999999996</v>
      </c>
      <c r="M28" s="25">
        <f t="shared" si="2"/>
        <v>2189.2007500030586</v>
      </c>
      <c r="N28" s="12">
        <f t="shared" si="3"/>
        <v>2.6280041483336715E-7</v>
      </c>
      <c r="O28">
        <f>'6_GC measurements aerobic'!D26</f>
        <v>840</v>
      </c>
      <c r="P28">
        <f>('6_GC measurements aerobic'!$L$26*100)+('8_Respiration'!O28*100)</f>
        <v>182160</v>
      </c>
      <c r="Q28" s="126">
        <f t="shared" si="4"/>
        <v>1.9982527528852326E-5</v>
      </c>
      <c r="R28" s="12">
        <f t="shared" si="5"/>
        <v>239.7903303462279</v>
      </c>
      <c r="S28" s="53">
        <f t="shared" si="6"/>
        <v>1.1596601074553774</v>
      </c>
    </row>
    <row r="29" spans="1:24" x14ac:dyDescent="0.3">
      <c r="A29" s="32" t="s">
        <v>22</v>
      </c>
      <c r="B29" t="s">
        <v>44</v>
      </c>
      <c r="C29" t="s">
        <v>147</v>
      </c>
      <c r="D29" t="s">
        <v>185</v>
      </c>
      <c r="E29">
        <v>144.053</v>
      </c>
      <c r="F29">
        <v>12.574</v>
      </c>
      <c r="G29" s="25">
        <f>'3_Pre-incubation'!K31</f>
        <v>1.5649002472495086</v>
      </c>
      <c r="H29" s="25">
        <f t="shared" si="0"/>
        <v>4.9023349011267907</v>
      </c>
      <c r="I29" s="49">
        <f t="shared" si="1"/>
        <v>1.1864200000000001E-4</v>
      </c>
      <c r="J29" s="12">
        <f>'6_GC measurements aerobic'!C139</f>
        <v>48.216666666674428</v>
      </c>
      <c r="K29">
        <v>70.707999999999998</v>
      </c>
      <c r="L29">
        <v>0.99719999999999998</v>
      </c>
      <c r="M29" s="25">
        <f t="shared" si="2"/>
        <v>3409.3040666672155</v>
      </c>
      <c r="N29" s="12">
        <f t="shared" si="3"/>
        <v>4.0448665307753176E-7</v>
      </c>
      <c r="O29">
        <f>'6_GC measurements aerobic'!D27</f>
        <v>810</v>
      </c>
      <c r="P29">
        <f>('6_GC measurements aerobic'!$L$26*100)+('8_Respiration'!O29*100)</f>
        <v>179160</v>
      </c>
      <c r="Q29" s="126">
        <f t="shared" si="4"/>
        <v>3.0249388895770968E-5</v>
      </c>
      <c r="R29" s="12">
        <f t="shared" si="5"/>
        <v>362.99266674925167</v>
      </c>
      <c r="S29" s="53">
        <f t="shared" si="6"/>
        <v>1.5356692622106676</v>
      </c>
      <c r="U29" s="1"/>
      <c r="V29" s="1"/>
      <c r="W29" s="1"/>
      <c r="X29" s="1"/>
    </row>
    <row r="30" spans="1:24" x14ac:dyDescent="0.3">
      <c r="A30" s="32" t="s">
        <v>48</v>
      </c>
      <c r="B30" t="s">
        <v>69</v>
      </c>
      <c r="C30" t="s">
        <v>148</v>
      </c>
      <c r="D30" t="s">
        <v>185</v>
      </c>
      <c r="E30">
        <v>143.971</v>
      </c>
      <c r="F30">
        <v>14.884</v>
      </c>
      <c r="G30" s="25">
        <f>'3_Pre-incubation'!K32</f>
        <v>1.5077016640963063</v>
      </c>
      <c r="H30" s="25">
        <f t="shared" si="0"/>
        <v>5.9353152781687477</v>
      </c>
      <c r="I30" s="49">
        <f t="shared" si="1"/>
        <v>1.16332E-4</v>
      </c>
      <c r="J30" s="12">
        <f>'6_GC measurements aerobic'!C140</f>
        <v>47.25</v>
      </c>
      <c r="K30">
        <v>83.203999999999994</v>
      </c>
      <c r="L30">
        <v>0.98209999999999997</v>
      </c>
      <c r="M30" s="25">
        <f t="shared" si="2"/>
        <v>3931.3889999999997</v>
      </c>
      <c r="N30" s="12">
        <f t="shared" si="3"/>
        <v>4.5734634514799993E-7</v>
      </c>
      <c r="O30">
        <f>'6_GC measurements aerobic'!D28</f>
        <v>831</v>
      </c>
      <c r="P30">
        <f>('6_GC measurements aerobic'!$L$26*100)+('8_Respiration'!O30*100)</f>
        <v>181260</v>
      </c>
      <c r="Q30" s="126">
        <f t="shared" si="4"/>
        <v>3.4603381780776264E-5</v>
      </c>
      <c r="R30" s="12">
        <f t="shared" si="5"/>
        <v>415.24058136931518</v>
      </c>
      <c r="S30" s="53">
        <f t="shared" si="6"/>
        <v>1.4806560461219667</v>
      </c>
      <c r="U30" s="228"/>
      <c r="W30" s="12"/>
      <c r="X30" s="12"/>
    </row>
    <row r="31" spans="1:24" x14ac:dyDescent="0.3">
      <c r="A31" s="32" t="s">
        <v>49</v>
      </c>
      <c r="B31" t="s">
        <v>70</v>
      </c>
      <c r="C31" t="s">
        <v>149</v>
      </c>
      <c r="D31" t="s">
        <v>185</v>
      </c>
      <c r="E31">
        <v>145.739</v>
      </c>
      <c r="F31">
        <v>11.61</v>
      </c>
      <c r="G31" s="25">
        <f>'3_Pre-incubation'!K33</f>
        <v>1.5153219321909572</v>
      </c>
      <c r="H31" s="25">
        <f t="shared" si="0"/>
        <v>4.6157113534517515</v>
      </c>
      <c r="I31" s="49">
        <f t="shared" si="1"/>
        <v>1.1960600000000001E-4</v>
      </c>
      <c r="J31" s="12">
        <f>'6_GC measurements aerobic'!C141</f>
        <v>47.216666666558012</v>
      </c>
      <c r="K31">
        <v>60.920999999999999</v>
      </c>
      <c r="L31">
        <v>0.99519999999999997</v>
      </c>
      <c r="M31" s="25">
        <f t="shared" si="2"/>
        <v>2876.4865499933808</v>
      </c>
      <c r="N31" s="12">
        <f t="shared" si="3"/>
        <v>3.4404505029850834E-7</v>
      </c>
      <c r="O31">
        <f>'6_GC measurements aerobic'!D29</f>
        <v>843</v>
      </c>
      <c r="P31">
        <f>('6_GC measurements aerobic'!$L$26*100)+('8_Respiration'!O31*100)</f>
        <v>182460</v>
      </c>
      <c r="Q31" s="126">
        <f t="shared" si="4"/>
        <v>2.6203200536109294E-5</v>
      </c>
      <c r="R31" s="12">
        <f t="shared" si="5"/>
        <v>314.43840643331151</v>
      </c>
      <c r="S31" s="53">
        <f t="shared" si="6"/>
        <v>1.4427850062190679</v>
      </c>
      <c r="U31" s="228"/>
      <c r="W31" s="12"/>
      <c r="X31" s="12"/>
    </row>
    <row r="32" spans="1:24" x14ac:dyDescent="0.3">
      <c r="A32" s="32" t="s">
        <v>53</v>
      </c>
      <c r="B32" t="s">
        <v>74</v>
      </c>
      <c r="C32" t="s">
        <v>150</v>
      </c>
      <c r="D32" t="s">
        <v>185</v>
      </c>
      <c r="E32">
        <v>145.33600000000001</v>
      </c>
      <c r="F32">
        <v>10.683</v>
      </c>
      <c r="G32" s="25">
        <f>'3_Pre-incubation'!K34</f>
        <v>1.5468099615830533</v>
      </c>
      <c r="H32" s="25">
        <f t="shared" si="0"/>
        <v>4.1946592643919258</v>
      </c>
      <c r="I32" s="49">
        <f t="shared" si="1"/>
        <v>1.2053300000000001E-4</v>
      </c>
      <c r="J32" s="12">
        <f>'6_GC measurements aerobic'!C142</f>
        <v>47.233333333279006</v>
      </c>
      <c r="K32">
        <v>58.116999999999997</v>
      </c>
      <c r="L32">
        <v>0.99509999999999998</v>
      </c>
      <c r="M32" s="25">
        <f t="shared" si="2"/>
        <v>2745.059633330176</v>
      </c>
      <c r="N32" s="12">
        <f t="shared" si="3"/>
        <v>3.308702727841861E-7</v>
      </c>
      <c r="O32">
        <f>'6_GC measurements aerobic'!D30</f>
        <v>820</v>
      </c>
      <c r="P32">
        <f>('6_GC measurements aerobic'!$L$26*100)+('8_Respiration'!O32*100)</f>
        <v>180160</v>
      </c>
      <c r="Q32" s="126">
        <f t="shared" si="4"/>
        <v>2.4882125633937773E-5</v>
      </c>
      <c r="R32" s="12">
        <f t="shared" si="5"/>
        <v>298.58550760725331</v>
      </c>
      <c r="S32" s="53">
        <f t="shared" si="6"/>
        <v>1.5070353537100443</v>
      </c>
      <c r="U32" s="228"/>
      <c r="W32" s="12"/>
      <c r="X32" s="12"/>
    </row>
    <row r="33" spans="1:24" x14ac:dyDescent="0.3">
      <c r="A33" s="32" t="s">
        <v>54</v>
      </c>
      <c r="B33" t="s">
        <v>75</v>
      </c>
      <c r="C33" t="s">
        <v>151</v>
      </c>
      <c r="D33" t="s">
        <v>185</v>
      </c>
      <c r="E33">
        <v>150.197</v>
      </c>
      <c r="F33">
        <v>13.606</v>
      </c>
      <c r="G33" s="25">
        <f>'3_Pre-incubation'!K35</f>
        <v>1.5481571834188348</v>
      </c>
      <c r="H33" s="25">
        <f t="shared" si="0"/>
        <v>5.3395450204311885</v>
      </c>
      <c r="I33" s="49">
        <f t="shared" si="1"/>
        <v>1.1761000000000001E-4</v>
      </c>
      <c r="J33" s="12">
        <f>'6_GC measurements aerobic'!C143</f>
        <v>47.25</v>
      </c>
      <c r="K33">
        <v>98.960999999999999</v>
      </c>
      <c r="L33">
        <v>0.99390000000000001</v>
      </c>
      <c r="M33" s="25">
        <f t="shared" si="2"/>
        <v>4675.9072500000002</v>
      </c>
      <c r="N33" s="12">
        <f t="shared" si="3"/>
        <v>5.4993345167250003E-7</v>
      </c>
      <c r="O33">
        <f>'6_GC measurements aerobic'!D31</f>
        <v>790</v>
      </c>
      <c r="P33">
        <f>('6_GC measurements aerobic'!$L$26*100)+('8_Respiration'!O33*100)</f>
        <v>177160</v>
      </c>
      <c r="Q33" s="126">
        <f t="shared" si="4"/>
        <v>4.0667470989040272E-5</v>
      </c>
      <c r="R33" s="12">
        <f t="shared" si="5"/>
        <v>488.00965186848327</v>
      </c>
      <c r="S33" s="53">
        <f t="shared" si="6"/>
        <v>1.9342933828390374</v>
      </c>
      <c r="U33" s="228"/>
      <c r="W33" s="12"/>
      <c r="X33" s="12"/>
    </row>
    <row r="34" spans="1:24" x14ac:dyDescent="0.3">
      <c r="A34" s="32" t="s">
        <v>58</v>
      </c>
      <c r="B34" t="s">
        <v>79</v>
      </c>
      <c r="C34" t="s">
        <v>152</v>
      </c>
      <c r="D34" t="s">
        <v>185</v>
      </c>
      <c r="E34">
        <v>144.965</v>
      </c>
      <c r="F34">
        <v>12.935</v>
      </c>
      <c r="G34" s="25">
        <f>'3_Pre-incubation'!K36</f>
        <v>1.5451948365467854</v>
      </c>
      <c r="H34" s="25">
        <f t="shared" si="0"/>
        <v>5.0821256645128479</v>
      </c>
      <c r="I34" s="49">
        <f t="shared" si="1"/>
        <v>1.18281E-4</v>
      </c>
      <c r="J34" s="12">
        <f>'6_GC measurements aerobic'!C144</f>
        <v>47.266666666546371</v>
      </c>
      <c r="K34">
        <v>55.786999999999999</v>
      </c>
      <c r="L34">
        <v>0.99150000000000005</v>
      </c>
      <c r="M34" s="25">
        <f t="shared" si="2"/>
        <v>2636.8655333266224</v>
      </c>
      <c r="N34" s="12">
        <f t="shared" si="3"/>
        <v>3.1189109214740624E-7</v>
      </c>
      <c r="O34">
        <f>'6_GC measurements aerobic'!D32</f>
        <v>851</v>
      </c>
      <c r="P34">
        <f>('6_GC measurements aerobic'!$L$26*100)+('8_Respiration'!O34*100)</f>
        <v>183260</v>
      </c>
      <c r="Q34" s="126">
        <f t="shared" si="4"/>
        <v>2.3858438113407458E-5</v>
      </c>
      <c r="R34" s="12">
        <f t="shared" si="5"/>
        <v>286.30125736088951</v>
      </c>
      <c r="S34" s="53">
        <f t="shared" si="6"/>
        <v>1.1918535096012386</v>
      </c>
      <c r="U34" s="228"/>
      <c r="W34" s="12"/>
      <c r="X34" s="12"/>
    </row>
    <row r="35" spans="1:24" x14ac:dyDescent="0.3">
      <c r="A35" s="32" t="s">
        <v>59</v>
      </c>
      <c r="B35" t="s">
        <v>80</v>
      </c>
      <c r="C35" t="s">
        <v>153</v>
      </c>
      <c r="D35" t="s">
        <v>185</v>
      </c>
      <c r="E35">
        <v>144.32</v>
      </c>
      <c r="F35">
        <v>12.9</v>
      </c>
      <c r="G35" s="25">
        <f>'3_Pre-incubation'!K37</f>
        <v>1.5534575257597261</v>
      </c>
      <c r="H35" s="25">
        <f t="shared" si="0"/>
        <v>5.0519735965304076</v>
      </c>
      <c r="I35" s="49">
        <f t="shared" si="1"/>
        <v>1.18316E-4</v>
      </c>
      <c r="J35" s="12">
        <f>'6_GC measurements aerobic'!C145</f>
        <v>47.283333333267365</v>
      </c>
      <c r="K35">
        <v>56.954999999999998</v>
      </c>
      <c r="L35">
        <v>0.99719999999999998</v>
      </c>
      <c r="M35" s="25">
        <f t="shared" si="2"/>
        <v>2693.0222499962429</v>
      </c>
      <c r="N35" s="12">
        <f t="shared" si="3"/>
        <v>3.1862762053055543E-7</v>
      </c>
      <c r="O35">
        <f>'6_GC measurements aerobic'!D33</f>
        <v>855</v>
      </c>
      <c r="P35">
        <f>('6_GC measurements aerobic'!$L$26*100)+('8_Respiration'!O35*100)</f>
        <v>183660</v>
      </c>
      <c r="Q35" s="126">
        <f t="shared" si="4"/>
        <v>2.4426956342626109E-5</v>
      </c>
      <c r="R35" s="12">
        <f t="shared" si="5"/>
        <v>293.12347611151336</v>
      </c>
      <c r="S35" s="53">
        <f t="shared" si="6"/>
        <v>1.2271042061378945</v>
      </c>
      <c r="U35" s="228"/>
      <c r="W35" s="12"/>
      <c r="X35" s="12"/>
    </row>
    <row r="36" spans="1:24" x14ac:dyDescent="0.3">
      <c r="A36" s="32" t="s">
        <v>63</v>
      </c>
      <c r="B36" t="s">
        <v>84</v>
      </c>
      <c r="C36" t="s">
        <v>154</v>
      </c>
      <c r="D36" t="s">
        <v>185</v>
      </c>
      <c r="E36">
        <v>146.22499999999999</v>
      </c>
      <c r="F36">
        <v>11.542</v>
      </c>
      <c r="G36" s="25">
        <f>'3_Pre-incubation'!K38</f>
        <v>1.5085284851203604</v>
      </c>
      <c r="H36" s="25">
        <f t="shared" si="0"/>
        <v>4.601103821807393</v>
      </c>
      <c r="I36" s="49">
        <f t="shared" si="1"/>
        <v>1.1967400000000001E-4</v>
      </c>
      <c r="J36" s="12">
        <f>'6_GC measurements aerobic'!C146</f>
        <v>47.283333333441988</v>
      </c>
      <c r="K36">
        <v>54.802999999999997</v>
      </c>
      <c r="L36">
        <v>0.99639999999999995</v>
      </c>
      <c r="M36" s="25">
        <f t="shared" si="2"/>
        <v>2591.268516672621</v>
      </c>
      <c r="N36" s="12">
        <f t="shared" si="3"/>
        <v>3.1010746846427924E-7</v>
      </c>
      <c r="O36">
        <f>'6_GC measurements aerobic'!D34</f>
        <v>832</v>
      </c>
      <c r="P36">
        <f>('6_GC measurements aerobic'!$L$26*100)+('8_Respiration'!O36*100)</f>
        <v>181360</v>
      </c>
      <c r="Q36" s="126">
        <f t="shared" si="4"/>
        <v>2.3476053399923925E-5</v>
      </c>
      <c r="R36" s="12">
        <f t="shared" si="5"/>
        <v>281.71264079908713</v>
      </c>
      <c r="S36" s="53">
        <f t="shared" si="6"/>
        <v>1.2948999566061068</v>
      </c>
      <c r="U36" s="228"/>
      <c r="W36" s="12"/>
      <c r="X36" s="12"/>
    </row>
    <row r="37" spans="1:24" ht="15" thickBot="1" x14ac:dyDescent="0.35">
      <c r="A37" s="41" t="s">
        <v>64</v>
      </c>
      <c r="B37" s="36" t="s">
        <v>85</v>
      </c>
      <c r="C37" s="36" t="s">
        <v>155</v>
      </c>
      <c r="D37" s="36" t="s">
        <v>185</v>
      </c>
      <c r="E37" s="36">
        <v>146.143</v>
      </c>
      <c r="F37" s="36">
        <v>10.815</v>
      </c>
      <c r="G37" s="54">
        <f>'3_Pre-incubation'!K39</f>
        <v>1.5189744591905319</v>
      </c>
      <c r="H37" s="54">
        <f t="shared" si="0"/>
        <v>4.2934139171364922</v>
      </c>
      <c r="I37" s="55">
        <f t="shared" si="1"/>
        <v>1.20401E-4</v>
      </c>
      <c r="J37" s="56">
        <f>'6_GC measurements aerobic'!C147</f>
        <v>47.299999999988358</v>
      </c>
      <c r="K37" s="36">
        <v>49.762</v>
      </c>
      <c r="L37" s="36">
        <v>0.99539999999999995</v>
      </c>
      <c r="M37" s="54">
        <f t="shared" si="2"/>
        <v>2353.7425999994207</v>
      </c>
      <c r="N37" s="56">
        <f t="shared" si="3"/>
        <v>2.8339296278253022E-7</v>
      </c>
      <c r="O37" s="36">
        <f>'6_GC measurements aerobic'!D35</f>
        <v>792</v>
      </c>
      <c r="P37" s="36">
        <f>('6_GC measurements aerobic'!$L$26*100)+('8_Respiration'!O37*100)</f>
        <v>177360</v>
      </c>
      <c r="Q37" s="57">
        <f t="shared" si="4"/>
        <v>2.098051274025372E-5</v>
      </c>
      <c r="R37" s="56">
        <f t="shared" si="5"/>
        <v>251.76615288304467</v>
      </c>
      <c r="S37" s="58">
        <f t="shared" si="6"/>
        <v>1.2397480767769382</v>
      </c>
    </row>
    <row r="38" spans="1:24" x14ac:dyDescent="0.3">
      <c r="A38" t="s">
        <v>45</v>
      </c>
      <c r="B38" t="s">
        <v>66</v>
      </c>
      <c r="C38" t="s">
        <v>156</v>
      </c>
      <c r="D38" t="s">
        <v>186</v>
      </c>
      <c r="E38">
        <v>146.203</v>
      </c>
      <c r="F38">
        <v>11.106</v>
      </c>
      <c r="G38" s="25">
        <v>2.539254536619695</v>
      </c>
      <c r="H38" s="25">
        <f t="shared" si="0"/>
        <v>3.1379489339038114</v>
      </c>
      <c r="I38" s="49">
        <f t="shared" si="1"/>
        <v>1.2011000000000001E-4</v>
      </c>
      <c r="J38" s="12">
        <f>'7_GC measurements anaerobic'!C133</f>
        <v>160.91666666662786</v>
      </c>
      <c r="K38">
        <v>5.7735000000000003</v>
      </c>
      <c r="L38">
        <v>0.999</v>
      </c>
      <c r="M38" s="25">
        <f t="shared" si="2"/>
        <v>929.05237499977602</v>
      </c>
      <c r="N38" s="12">
        <f t="shared" si="3"/>
        <v>1.1158848076122311E-7</v>
      </c>
      <c r="O38">
        <f>'7_GC measurements anaerobic'!D8</f>
        <v>771</v>
      </c>
      <c r="P38">
        <f>('7_GC measurements anaerobic'!$O$40*100)+('8_Respiration'!O38*100)</f>
        <v>174900</v>
      </c>
      <c r="Q38" s="126">
        <f t="shared" si="4"/>
        <v>8.1466776101765566E-6</v>
      </c>
      <c r="R38" s="12">
        <f>Q38*12*10^6</f>
        <v>97.760131322118681</v>
      </c>
      <c r="S38" s="53">
        <f t="shared" si="6"/>
        <v>0.19360424559928507</v>
      </c>
    </row>
    <row r="39" spans="1:24" x14ac:dyDescent="0.3">
      <c r="A39" t="s">
        <v>46</v>
      </c>
      <c r="B39" t="s">
        <v>67</v>
      </c>
      <c r="C39" t="s">
        <v>157</v>
      </c>
      <c r="D39" t="s">
        <v>186</v>
      </c>
      <c r="E39">
        <v>145.339</v>
      </c>
      <c r="F39">
        <v>14.369</v>
      </c>
      <c r="G39" s="25">
        <v>1.5003686904644775</v>
      </c>
      <c r="H39" s="25">
        <f t="shared" si="0"/>
        <v>5.7467524908619625</v>
      </c>
      <c r="I39" s="49">
        <f t="shared" si="1"/>
        <v>1.16847E-4</v>
      </c>
      <c r="J39" s="12">
        <f>'7_GC measurements anaerobic'!C134</f>
        <v>160.91666666662786</v>
      </c>
      <c r="K39">
        <v>3.8129</v>
      </c>
      <c r="L39">
        <v>0.99990000000000001</v>
      </c>
      <c r="M39" s="25">
        <f t="shared" si="2"/>
        <v>613.55915833318534</v>
      </c>
      <c r="N39" s="12">
        <f t="shared" si="3"/>
        <v>7.1692546973757705E-8</v>
      </c>
      <c r="O39">
        <f>'7_GC measurements anaerobic'!D9</f>
        <v>795</v>
      </c>
      <c r="P39">
        <f>('7_GC measurements anaerobic'!$O$40*100)+('8_Respiration'!O39*100)</f>
        <v>177300</v>
      </c>
      <c r="Q39" s="126">
        <f t="shared" si="4"/>
        <v>5.3058394083110888E-6</v>
      </c>
      <c r="R39" s="12">
        <f t="shared" ref="R39:R65" si="7">Q39*12*10^6</f>
        <v>63.670072899733064</v>
      </c>
      <c r="S39" s="53">
        <f t="shared" si="6"/>
        <v>6.8851249576657517E-2</v>
      </c>
      <c r="T39" s="12"/>
    </row>
    <row r="40" spans="1:24" x14ac:dyDescent="0.3">
      <c r="A40" t="s">
        <v>47</v>
      </c>
      <c r="B40" t="s">
        <v>68</v>
      </c>
      <c r="C40" t="s">
        <v>158</v>
      </c>
      <c r="D40" t="s">
        <v>186</v>
      </c>
      <c r="E40">
        <v>144.727</v>
      </c>
      <c r="F40">
        <v>13.231</v>
      </c>
      <c r="G40" s="25">
        <v>1.5225885528816856</v>
      </c>
      <c r="H40" s="25">
        <f t="shared" si="0"/>
        <v>5.245009133528943</v>
      </c>
      <c r="I40" s="49">
        <f t="shared" si="1"/>
        <v>1.17985E-4</v>
      </c>
      <c r="J40" s="12">
        <f>'7_GC measurements anaerobic'!C135</f>
        <v>160.89999999990687</v>
      </c>
      <c r="K40">
        <v>4.1891999999999996</v>
      </c>
      <c r="L40">
        <v>0.99519999999999997</v>
      </c>
      <c r="M40" s="25">
        <f t="shared" si="2"/>
        <v>674.04227999960983</v>
      </c>
      <c r="N40" s="12">
        <f t="shared" si="3"/>
        <v>7.9526878405753957E-8</v>
      </c>
      <c r="O40">
        <f>'7_GC measurements anaerobic'!D10</f>
        <v>788</v>
      </c>
      <c r="P40">
        <f>('7_GC measurements anaerobic'!$O$40*100)+('8_Respiration'!O40*100)</f>
        <v>176600</v>
      </c>
      <c r="Q40" s="126">
        <f t="shared" si="4"/>
        <v>5.8624073342945427E-6</v>
      </c>
      <c r="R40" s="12">
        <f t="shared" si="7"/>
        <v>70.348888011534513</v>
      </c>
      <c r="S40" s="205">
        <f t="shared" si="6"/>
        <v>8.3359469888176399E-2</v>
      </c>
    </row>
    <row r="41" spans="1:24" x14ac:dyDescent="0.3">
      <c r="A41" t="s">
        <v>48</v>
      </c>
      <c r="B41" t="s">
        <v>69</v>
      </c>
      <c r="C41" t="s">
        <v>159</v>
      </c>
      <c r="D41" t="s">
        <v>186</v>
      </c>
      <c r="E41">
        <v>145.57900000000001</v>
      </c>
      <c r="F41">
        <v>12.504</v>
      </c>
      <c r="G41" s="25">
        <v>1.509345406851557</v>
      </c>
      <c r="H41" s="25">
        <f t="shared" si="0"/>
        <v>4.9829728366046684</v>
      </c>
      <c r="I41" s="49">
        <f t="shared" si="1"/>
        <v>1.18712E-4</v>
      </c>
      <c r="J41" s="12">
        <f>'7_GC measurements anaerobic'!C136</f>
        <v>160.90000000008149</v>
      </c>
      <c r="K41">
        <v>7.6870000000000003</v>
      </c>
      <c r="L41">
        <v>0.99890000000000001</v>
      </c>
      <c r="M41" s="25">
        <f t="shared" si="2"/>
        <v>1236.8383000006265</v>
      </c>
      <c r="N41" s="12">
        <f t="shared" si="3"/>
        <v>1.4682754826967435E-7</v>
      </c>
      <c r="O41">
        <f>'7_GC measurements anaerobic'!D11</f>
        <v>809</v>
      </c>
      <c r="P41">
        <f>('7_GC measurements anaerobic'!$O$40*100)+('8_Respiration'!O41*100)</f>
        <v>178700</v>
      </c>
      <c r="Q41" s="126">
        <f t="shared" si="4"/>
        <v>1.0952252693522605E-5</v>
      </c>
      <c r="R41" s="12">
        <f t="shared" si="7"/>
        <v>131.42703232227126</v>
      </c>
      <c r="S41" s="205">
        <f t="shared" si="6"/>
        <v>0.16392309210281075</v>
      </c>
    </row>
    <row r="42" spans="1:24" x14ac:dyDescent="0.3">
      <c r="A42" t="s">
        <v>49</v>
      </c>
      <c r="B42" t="s">
        <v>70</v>
      </c>
      <c r="C42" t="s">
        <v>160</v>
      </c>
      <c r="D42" t="s">
        <v>186</v>
      </c>
      <c r="E42">
        <v>145.298</v>
      </c>
      <c r="F42">
        <v>12.103</v>
      </c>
      <c r="G42" s="25">
        <v>1.5172987241531011</v>
      </c>
      <c r="H42" s="25">
        <f t="shared" si="0"/>
        <v>4.8079315672286098</v>
      </c>
      <c r="I42" s="49">
        <f t="shared" si="1"/>
        <v>1.1911300000000001E-4</v>
      </c>
      <c r="J42" s="12">
        <f>'7_GC measurements anaerobic'!C137</f>
        <v>160.91666666662786</v>
      </c>
      <c r="K42">
        <v>7.8470000000000004</v>
      </c>
      <c r="L42">
        <v>0.99929999999999997</v>
      </c>
      <c r="M42" s="25">
        <f t="shared" si="2"/>
        <v>1262.7130833330289</v>
      </c>
      <c r="N42" s="12">
        <f t="shared" si="3"/>
        <v>1.5040554349504707E-7</v>
      </c>
      <c r="O42">
        <f>'7_GC measurements anaerobic'!D12</f>
        <v>710</v>
      </c>
      <c r="P42">
        <f>('7_GC measurements anaerobic'!$O$40*100)+('8_Respiration'!O42*100)</f>
        <v>168800</v>
      </c>
      <c r="Q42" s="126">
        <f t="shared" si="4"/>
        <v>1.0597602885112596E-5</v>
      </c>
      <c r="R42" s="12">
        <f t="shared" si="7"/>
        <v>127.17123462135116</v>
      </c>
      <c r="S42" s="205">
        <f t="shared" si="6"/>
        <v>0.16437265961281625</v>
      </c>
    </row>
    <row r="43" spans="1:24" x14ac:dyDescent="0.3">
      <c r="A43" t="s">
        <v>50</v>
      </c>
      <c r="B43" t="s">
        <v>71</v>
      </c>
      <c r="C43" t="s">
        <v>161</v>
      </c>
      <c r="D43" t="s">
        <v>186</v>
      </c>
      <c r="E43">
        <v>145.63300000000001</v>
      </c>
      <c r="F43">
        <v>13.076000000000001</v>
      </c>
      <c r="G43" s="25">
        <v>2.5447385182170397</v>
      </c>
      <c r="H43" s="25">
        <f t="shared" si="0"/>
        <v>3.6888475504751952</v>
      </c>
      <c r="I43" s="49">
        <f t="shared" si="1"/>
        <v>1.1814E-4</v>
      </c>
      <c r="J43" s="12">
        <f>'7_GC measurements anaerobic'!C138</f>
        <v>160.89999999990687</v>
      </c>
      <c r="K43">
        <v>5.9417</v>
      </c>
      <c r="L43">
        <v>0.99970000000000003</v>
      </c>
      <c r="M43" s="25">
        <f t="shared" si="2"/>
        <v>956.0195299994466</v>
      </c>
      <c r="N43" s="12">
        <f t="shared" si="3"/>
        <v>1.1294414727413462E-7</v>
      </c>
      <c r="O43">
        <f>'7_GC measurements anaerobic'!D13</f>
        <v>854</v>
      </c>
      <c r="P43">
        <f>('7_GC measurements anaerobic'!$O$40*100)+('8_Respiration'!O43*100)</f>
        <v>183200</v>
      </c>
      <c r="Q43" s="126">
        <f t="shared" si="4"/>
        <v>8.6369529961761005E-6</v>
      </c>
      <c r="R43" s="12">
        <f t="shared" si="7"/>
        <v>103.6434359541132</v>
      </c>
      <c r="S43" s="205">
        <f t="shared" si="6"/>
        <v>0.17462042890200946</v>
      </c>
    </row>
    <row r="44" spans="1:24" x14ac:dyDescent="0.3">
      <c r="A44" t="s">
        <v>51</v>
      </c>
      <c r="B44" t="s">
        <v>72</v>
      </c>
      <c r="C44" t="s">
        <v>162</v>
      </c>
      <c r="D44" t="s">
        <v>186</v>
      </c>
      <c r="E44">
        <v>144.81100000000001</v>
      </c>
      <c r="F44">
        <v>13.247999999999999</v>
      </c>
      <c r="G44" s="25">
        <v>1.5465137749347171</v>
      </c>
      <c r="H44" s="25">
        <f t="shared" si="0"/>
        <v>5.2024065726248141</v>
      </c>
      <c r="I44" s="49">
        <f t="shared" si="1"/>
        <v>1.1796799999999999E-4</v>
      </c>
      <c r="J44" s="12">
        <f>'7_GC measurements anaerobic'!C139</f>
        <v>160.90000000008149</v>
      </c>
      <c r="K44">
        <v>1.4356</v>
      </c>
      <c r="L44">
        <v>0.99890000000000001</v>
      </c>
      <c r="M44" s="25">
        <f t="shared" si="2"/>
        <v>230.988040000117</v>
      </c>
      <c r="N44" s="12">
        <f t="shared" si="3"/>
        <v>2.7249197102733798E-8</v>
      </c>
      <c r="O44">
        <f>'7_GC measurements anaerobic'!D14</f>
        <v>762</v>
      </c>
      <c r="P44">
        <f>('7_GC measurements anaerobic'!$O$40*100)+('8_Respiration'!O44*100)</f>
        <v>174000</v>
      </c>
      <c r="Q44" s="126">
        <f t="shared" si="4"/>
        <v>1.9791299660608473E-6</v>
      </c>
      <c r="R44" s="12">
        <f t="shared" si="7"/>
        <v>23.749559592730169</v>
      </c>
      <c r="S44" s="205">
        <f t="shared" si="6"/>
        <v>2.8372344651898487E-2</v>
      </c>
    </row>
    <row r="45" spans="1:24" x14ac:dyDescent="0.3">
      <c r="A45" t="s">
        <v>52</v>
      </c>
      <c r="B45" t="s">
        <v>73</v>
      </c>
      <c r="C45" t="s">
        <v>163</v>
      </c>
      <c r="D45" t="s">
        <v>186</v>
      </c>
      <c r="E45">
        <v>145.41800000000001</v>
      </c>
      <c r="F45">
        <v>16.300999999999998</v>
      </c>
      <c r="G45" s="25">
        <v>1.5312291848132396</v>
      </c>
      <c r="H45" s="25">
        <f t="shared" si="0"/>
        <v>6.4399541921379697</v>
      </c>
      <c r="I45" s="49">
        <f t="shared" si="1"/>
        <v>1.1491500000000001E-4</v>
      </c>
      <c r="J45" s="12">
        <f>'7_GC measurements anaerobic'!C140</f>
        <v>160.91666666662786</v>
      </c>
      <c r="K45">
        <v>2.6547999999999998</v>
      </c>
      <c r="L45">
        <v>0.99729999999999996</v>
      </c>
      <c r="M45" s="25">
        <f t="shared" si="2"/>
        <v>427.20156666656362</v>
      </c>
      <c r="N45" s="12">
        <f t="shared" si="3"/>
        <v>4.909186803348816E-8</v>
      </c>
      <c r="O45">
        <f>'7_GC measurements anaerobic'!D15</f>
        <v>765</v>
      </c>
      <c r="P45">
        <f>('7_GC measurements anaerobic'!$O$40*100)+('8_Respiration'!O45*100)</f>
        <v>174300</v>
      </c>
      <c r="Q45" s="126">
        <f t="shared" si="4"/>
        <v>3.5717273645860949E-6</v>
      </c>
      <c r="R45" s="12">
        <f t="shared" si="7"/>
        <v>42.86072837503314</v>
      </c>
      <c r="S45" s="205">
        <f t="shared" si="6"/>
        <v>4.1359543936477637E-2</v>
      </c>
    </row>
    <row r="46" spans="1:24" x14ac:dyDescent="0.3">
      <c r="A46" t="s">
        <v>53</v>
      </c>
      <c r="B46" t="s">
        <v>74</v>
      </c>
      <c r="C46" t="s">
        <v>164</v>
      </c>
      <c r="D46" t="s">
        <v>186</v>
      </c>
      <c r="E46">
        <v>145.36699999999999</v>
      </c>
      <c r="F46">
        <v>12.224</v>
      </c>
      <c r="G46" s="25">
        <v>1.5484276729559747</v>
      </c>
      <c r="H46" s="25">
        <f t="shared" si="0"/>
        <v>4.7966831194471871</v>
      </c>
      <c r="I46" s="49">
        <f t="shared" si="1"/>
        <v>1.18992E-4</v>
      </c>
      <c r="J46" s="12">
        <f>'7_GC measurements anaerobic'!C141</f>
        <v>160.90000000008149</v>
      </c>
      <c r="K46">
        <v>4.0932000000000004</v>
      </c>
      <c r="L46">
        <v>0.99839999999999995</v>
      </c>
      <c r="M46" s="25">
        <f t="shared" si="2"/>
        <v>658.59588000033364</v>
      </c>
      <c r="N46" s="12">
        <f t="shared" si="3"/>
        <v>7.8367640952999689E-8</v>
      </c>
      <c r="O46">
        <f>'7_GC measurements anaerobic'!D16</f>
        <v>766</v>
      </c>
      <c r="P46">
        <f>('7_GC measurements anaerobic'!$O$40*100)+('8_Respiration'!O46*100)</f>
        <v>174400</v>
      </c>
      <c r="Q46" s="126">
        <f t="shared" si="4"/>
        <v>5.7049863573978446E-6</v>
      </c>
      <c r="R46" s="12">
        <f t="shared" si="7"/>
        <v>68.459836288774142</v>
      </c>
      <c r="S46" s="205">
        <f t="shared" si="6"/>
        <v>8.870309702838261E-2</v>
      </c>
    </row>
    <row r="47" spans="1:24" x14ac:dyDescent="0.3">
      <c r="A47" t="s">
        <v>54</v>
      </c>
      <c r="B47" t="s">
        <v>75</v>
      </c>
      <c r="C47" t="s">
        <v>165</v>
      </c>
      <c r="D47" t="s">
        <v>186</v>
      </c>
      <c r="E47">
        <v>146.434</v>
      </c>
      <c r="F47">
        <v>13.057</v>
      </c>
      <c r="G47" s="25">
        <v>1.550466749708395</v>
      </c>
      <c r="H47" s="25">
        <f t="shared" si="0"/>
        <v>5.1194550964025929</v>
      </c>
      <c r="I47" s="49">
        <f t="shared" si="1"/>
        <v>1.18159E-4</v>
      </c>
      <c r="J47" s="12">
        <f>'7_GC measurements anaerobic'!C142</f>
        <v>160.90000000008149</v>
      </c>
      <c r="K47">
        <v>15.442</v>
      </c>
      <c r="L47">
        <v>0.995</v>
      </c>
      <c r="M47" s="25">
        <f t="shared" si="2"/>
        <v>2484.6178000012583</v>
      </c>
      <c r="N47" s="12">
        <f t="shared" si="3"/>
        <v>2.9357995463034869E-7</v>
      </c>
      <c r="O47">
        <f>'7_GC measurements anaerobic'!D17</f>
        <v>763</v>
      </c>
      <c r="P47">
        <f>('7_GC measurements anaerobic'!$O$40*100)+('8_Respiration'!O47*100)</f>
        <v>174100</v>
      </c>
      <c r="Q47" s="126">
        <f t="shared" si="4"/>
        <v>2.1335190552500836E-5</v>
      </c>
      <c r="R47" s="12">
        <f t="shared" si="7"/>
        <v>256.02228663001006</v>
      </c>
      <c r="S47" s="205">
        <f t="shared" si="6"/>
        <v>0.31081215171715765</v>
      </c>
      <c r="V47" s="12"/>
    </row>
    <row r="48" spans="1:24" x14ac:dyDescent="0.3">
      <c r="A48" t="s">
        <v>55</v>
      </c>
      <c r="B48" t="s">
        <v>76</v>
      </c>
      <c r="C48" t="s">
        <v>166</v>
      </c>
      <c r="D48" t="s">
        <v>186</v>
      </c>
      <c r="E48">
        <v>145.93199999999999</v>
      </c>
      <c r="F48">
        <v>14.307</v>
      </c>
      <c r="G48" s="25">
        <v>2.5198050021195422</v>
      </c>
      <c r="H48" s="25">
        <f t="shared" si="0"/>
        <v>4.0647138098231768</v>
      </c>
      <c r="I48" s="49">
        <f t="shared" si="1"/>
        <v>1.16909E-4</v>
      </c>
      <c r="J48" s="12">
        <f>'7_GC measurements anaerobic'!C143</f>
        <v>160.91666666680248</v>
      </c>
      <c r="K48">
        <v>3.5236999999999998</v>
      </c>
      <c r="L48">
        <v>1</v>
      </c>
      <c r="M48" s="25">
        <f t="shared" si="2"/>
        <v>567.02205833381186</v>
      </c>
      <c r="N48" s="12">
        <f t="shared" si="3"/>
        <v>6.6289981817747621E-8</v>
      </c>
      <c r="O48">
        <f>'7_GC measurements anaerobic'!D18</f>
        <v>806</v>
      </c>
      <c r="P48">
        <f>('7_GC measurements anaerobic'!$O$40*100)+('8_Respiration'!O48*100)</f>
        <v>178400</v>
      </c>
      <c r="Q48" s="126">
        <f t="shared" si="4"/>
        <v>4.936442763259143E-6</v>
      </c>
      <c r="R48" s="12">
        <f t="shared" si="7"/>
        <v>59.237313159109718</v>
      </c>
      <c r="S48" s="205">
        <f t="shared" si="6"/>
        <v>9.0565825734921335E-2</v>
      </c>
    </row>
    <row r="49" spans="1:21" x14ac:dyDescent="0.3">
      <c r="A49" t="s">
        <v>56</v>
      </c>
      <c r="B49" t="s">
        <v>77</v>
      </c>
      <c r="C49" t="s">
        <v>167</v>
      </c>
      <c r="D49" t="s">
        <v>186</v>
      </c>
      <c r="E49">
        <v>144.81700000000001</v>
      </c>
      <c r="F49">
        <v>16.312000000000001</v>
      </c>
      <c r="G49" s="25">
        <v>1.5365613296774452</v>
      </c>
      <c r="H49" s="25">
        <f t="shared" si="0"/>
        <v>6.4307532442254303</v>
      </c>
      <c r="I49" s="49">
        <f t="shared" si="1"/>
        <v>1.1490400000000001E-4</v>
      </c>
      <c r="J49" s="12">
        <f>'7_GC measurements anaerobic'!C144</f>
        <v>160.91666666662786</v>
      </c>
      <c r="K49">
        <v>8.6118000000000006</v>
      </c>
      <c r="L49">
        <v>0.99660000000000004</v>
      </c>
      <c r="M49" s="25">
        <f t="shared" si="2"/>
        <v>1385.782149999666</v>
      </c>
      <c r="N49" s="12">
        <f t="shared" si="3"/>
        <v>1.5923191216356164E-7</v>
      </c>
      <c r="O49">
        <f>'7_GC measurements anaerobic'!D19</f>
        <v>813</v>
      </c>
      <c r="P49">
        <f>('7_GC measurements anaerobic'!$O$40*100)+('8_Respiration'!O49*100)</f>
        <v>179100</v>
      </c>
      <c r="Q49" s="126">
        <f t="shared" si="4"/>
        <v>1.1904113313212063E-5</v>
      </c>
      <c r="R49" s="12">
        <f t="shared" si="7"/>
        <v>142.84935975854475</v>
      </c>
      <c r="S49" s="205">
        <f t="shared" si="6"/>
        <v>0.13804332931430832</v>
      </c>
    </row>
    <row r="50" spans="1:21" x14ac:dyDescent="0.3">
      <c r="A50" t="s">
        <v>57</v>
      </c>
      <c r="B50" t="s">
        <v>78</v>
      </c>
      <c r="C50" t="s">
        <v>168</v>
      </c>
      <c r="D50" t="s">
        <v>186</v>
      </c>
      <c r="E50">
        <v>144.67400000000001</v>
      </c>
      <c r="F50">
        <v>13.259</v>
      </c>
      <c r="G50" s="25">
        <v>1.523754046050366</v>
      </c>
      <c r="H50" s="25">
        <f t="shared" si="0"/>
        <v>5.2536815228687281</v>
      </c>
      <c r="I50" s="49">
        <f t="shared" si="1"/>
        <v>1.1795700000000001E-4</v>
      </c>
      <c r="J50" s="12">
        <f>'7_GC measurements anaerobic'!C145</f>
        <v>160.8833333333605</v>
      </c>
      <c r="K50">
        <v>4.0716999999999999</v>
      </c>
      <c r="L50">
        <v>0.99929999999999997</v>
      </c>
      <c r="M50" s="25">
        <f t="shared" si="2"/>
        <v>655.06866833344395</v>
      </c>
      <c r="N50" s="12">
        <f t="shared" si="3"/>
        <v>7.7269934910608053E-8</v>
      </c>
      <c r="O50">
        <f>'7_GC measurements anaerobic'!D20</f>
        <v>786</v>
      </c>
      <c r="P50">
        <f>('7_GC measurements anaerobic'!$O$40*100)+('8_Respiration'!O50*100)</f>
        <v>176400</v>
      </c>
      <c r="Q50" s="126">
        <f t="shared" si="4"/>
        <v>5.6895836000035486E-6</v>
      </c>
      <c r="R50" s="12">
        <f t="shared" si="7"/>
        <v>68.27500320004259</v>
      </c>
      <c r="S50" s="205">
        <f t="shared" si="6"/>
        <v>8.0776853288567263E-2</v>
      </c>
    </row>
    <row r="51" spans="1:21" x14ac:dyDescent="0.3">
      <c r="A51" t="s">
        <v>58</v>
      </c>
      <c r="B51" t="s">
        <v>79</v>
      </c>
      <c r="C51" t="s">
        <v>169</v>
      </c>
      <c r="D51" t="s">
        <v>186</v>
      </c>
      <c r="E51">
        <v>145.214</v>
      </c>
      <c r="F51">
        <v>15.015000000000001</v>
      </c>
      <c r="G51" s="25">
        <v>1.5477040971476075</v>
      </c>
      <c r="H51" s="25">
        <f t="shared" si="0"/>
        <v>5.8935415681949461</v>
      </c>
      <c r="I51" s="49">
        <f t="shared" si="1"/>
        <v>1.1620100000000001E-4</v>
      </c>
      <c r="J51" s="12">
        <f>'7_GC measurements anaerobic'!C146</f>
        <v>160.86666666681413</v>
      </c>
      <c r="K51">
        <v>5.0266000000000002</v>
      </c>
      <c r="L51">
        <v>0.99880000000000002</v>
      </c>
      <c r="M51" s="25">
        <f t="shared" si="2"/>
        <v>808.61238666740792</v>
      </c>
      <c r="N51" s="12">
        <f t="shared" si="3"/>
        <v>9.3961567943139458E-8</v>
      </c>
      <c r="O51">
        <f>'7_GC measurements anaerobic'!D21</f>
        <v>819</v>
      </c>
      <c r="P51">
        <f>('7_GC measurements anaerobic'!$O$40*100)+('8_Respiration'!O51*100)</f>
        <v>179700</v>
      </c>
      <c r="Q51" s="126">
        <f t="shared" si="4"/>
        <v>7.0480615535620615E-6</v>
      </c>
      <c r="R51" s="12">
        <f t="shared" si="7"/>
        <v>84.576738642744729</v>
      </c>
      <c r="S51" s="205">
        <f t="shared" si="6"/>
        <v>8.9208969051381953E-2</v>
      </c>
    </row>
    <row r="52" spans="1:21" x14ac:dyDescent="0.3">
      <c r="A52" t="s">
        <v>59</v>
      </c>
      <c r="B52" t="s">
        <v>80</v>
      </c>
      <c r="C52" t="s">
        <v>170</v>
      </c>
      <c r="D52" t="s">
        <v>186</v>
      </c>
      <c r="E52">
        <v>145.703</v>
      </c>
      <c r="F52">
        <v>13.664</v>
      </c>
      <c r="G52" s="25">
        <v>1.554762885770677</v>
      </c>
      <c r="H52" s="25">
        <f t="shared" si="0"/>
        <v>5.3484415622697128</v>
      </c>
      <c r="I52" s="49">
        <f t="shared" si="1"/>
        <v>1.17552E-4</v>
      </c>
      <c r="J52" s="12">
        <f>'7_GC measurements anaerobic'!C147</f>
        <v>160.8833333333605</v>
      </c>
      <c r="K52">
        <v>6.3601999999999999</v>
      </c>
      <c r="L52">
        <v>0.99399999999999999</v>
      </c>
      <c r="M52" s="25">
        <f t="shared" si="2"/>
        <v>1023.2501766668394</v>
      </c>
      <c r="N52" s="12">
        <f t="shared" si="3"/>
        <v>1.2028510476754028E-7</v>
      </c>
      <c r="O52">
        <f>'7_GC measurements anaerobic'!D22</f>
        <v>800</v>
      </c>
      <c r="P52">
        <f>('7_GC measurements anaerobic'!$O$40*100)+('8_Respiration'!O52*100)</f>
        <v>177800</v>
      </c>
      <c r="Q52" s="126">
        <f t="shared" si="4"/>
        <v>8.9271938080808335E-6</v>
      </c>
      <c r="R52" s="12">
        <f t="shared" si="7"/>
        <v>107.12632569697</v>
      </c>
      <c r="S52" s="205">
        <f t="shared" si="6"/>
        <v>0.12449671683207397</v>
      </c>
    </row>
    <row r="53" spans="1:21" x14ac:dyDescent="0.3">
      <c r="A53" t="s">
        <v>60</v>
      </c>
      <c r="B53" t="s">
        <v>81</v>
      </c>
      <c r="C53" t="s">
        <v>171</v>
      </c>
      <c r="D53" t="s">
        <v>186</v>
      </c>
      <c r="E53">
        <v>145.11699999999999</v>
      </c>
      <c r="F53">
        <v>12.548999999999999</v>
      </c>
      <c r="G53" s="25">
        <v>2.5533643419644179</v>
      </c>
      <c r="H53" s="25">
        <f t="shared" si="0"/>
        <v>3.5315826896215476</v>
      </c>
      <c r="I53" s="49">
        <f t="shared" si="1"/>
        <v>1.1866699999999999E-4</v>
      </c>
      <c r="J53" s="12">
        <f>'7_GC measurements anaerobic'!C148</f>
        <v>160.8666666666395</v>
      </c>
      <c r="K53">
        <v>6.0179999999999998</v>
      </c>
      <c r="L53">
        <v>0.99890000000000001</v>
      </c>
      <c r="M53" s="25">
        <f t="shared" si="2"/>
        <v>968.09559999983651</v>
      </c>
      <c r="N53" s="12">
        <f t="shared" si="3"/>
        <v>1.1488100056518058E-7</v>
      </c>
      <c r="O53">
        <f>'7_GC measurements anaerobic'!D23</f>
        <v>787</v>
      </c>
      <c r="P53">
        <f>('7_GC measurements anaerobic'!$O$40*100)+('8_Respiration'!O53*100)</f>
        <v>176500</v>
      </c>
      <c r="Q53" s="126">
        <f t="shared" si="4"/>
        <v>8.4637782246188041E-6</v>
      </c>
      <c r="R53" s="12">
        <f t="shared" si="7"/>
        <v>101.56533869542565</v>
      </c>
      <c r="S53" s="205">
        <f t="shared" si="6"/>
        <v>0.17877635519567703</v>
      </c>
    </row>
    <row r="54" spans="1:21" x14ac:dyDescent="0.3">
      <c r="A54" t="s">
        <v>61</v>
      </c>
      <c r="B54" t="s">
        <v>82</v>
      </c>
      <c r="C54" t="s">
        <v>172</v>
      </c>
      <c r="D54" t="s">
        <v>186</v>
      </c>
      <c r="E54">
        <v>145.48400000000001</v>
      </c>
      <c r="F54">
        <v>11.387</v>
      </c>
      <c r="G54" s="25">
        <v>1.5688306104901106</v>
      </c>
      <c r="H54" s="25">
        <f t="shared" si="0"/>
        <v>4.4327562718615612</v>
      </c>
      <c r="I54" s="49">
        <f t="shared" si="1"/>
        <v>1.1982900000000001E-4</v>
      </c>
      <c r="J54" s="12">
        <f>'7_GC measurements anaerobic'!C149</f>
        <v>160.8833333333605</v>
      </c>
      <c r="K54">
        <v>3.7145999999999999</v>
      </c>
      <c r="L54">
        <v>0.996</v>
      </c>
      <c r="M54" s="25">
        <f t="shared" si="2"/>
        <v>597.6172300001009</v>
      </c>
      <c r="N54" s="12">
        <f t="shared" si="3"/>
        <v>7.1611875053682092E-8</v>
      </c>
      <c r="O54">
        <f>'7_GC measurements anaerobic'!D24</f>
        <v>784</v>
      </c>
      <c r="P54">
        <f>('7_GC measurements anaerobic'!$O$40*100)+('8_Respiration'!O54*100)</f>
        <v>176200</v>
      </c>
      <c r="Q54" s="126">
        <f t="shared" si="4"/>
        <v>5.2669877131953041E-6</v>
      </c>
      <c r="R54" s="12">
        <f t="shared" si="7"/>
        <v>63.203852558343648</v>
      </c>
      <c r="S54" s="53">
        <f t="shared" si="6"/>
        <v>8.862548860461951E-2</v>
      </c>
    </row>
    <row r="55" spans="1:21" x14ac:dyDescent="0.3">
      <c r="A55" t="s">
        <v>62</v>
      </c>
      <c r="B55" t="s">
        <v>83</v>
      </c>
      <c r="C55" t="s">
        <v>173</v>
      </c>
      <c r="D55" t="s">
        <v>186</v>
      </c>
      <c r="E55">
        <v>145.97800000000001</v>
      </c>
      <c r="F55">
        <v>13.747999999999999</v>
      </c>
      <c r="G55" s="25">
        <v>1.5351059709575365</v>
      </c>
      <c r="H55" s="25">
        <f t="shared" si="0"/>
        <v>5.4230474613285038</v>
      </c>
      <c r="I55" s="49">
        <f t="shared" si="1"/>
        <v>1.1746799999999999E-4</v>
      </c>
      <c r="J55" s="12">
        <f>'7_GC measurements anaerobic'!C150</f>
        <v>160.8833333333605</v>
      </c>
      <c r="K55">
        <v>6.7560000000000002</v>
      </c>
      <c r="L55">
        <v>0.99980000000000002</v>
      </c>
      <c r="M55" s="25">
        <f t="shared" si="2"/>
        <v>1086.9278000001837</v>
      </c>
      <c r="N55" s="12">
        <f t="shared" si="3"/>
        <v>1.2767923481042155E-7</v>
      </c>
      <c r="O55">
        <f>'7_GC measurements anaerobic'!D25</f>
        <v>780</v>
      </c>
      <c r="P55">
        <f>('7_GC measurements anaerobic'!$O$40*100)+('8_Respiration'!O55*100)</f>
        <v>175800</v>
      </c>
      <c r="Q55" s="126">
        <f t="shared" si="4"/>
        <v>9.3693723335784464E-6</v>
      </c>
      <c r="R55" s="12">
        <f t="shared" si="7"/>
        <v>112.43246800294136</v>
      </c>
      <c r="S55" s="53">
        <f t="shared" si="6"/>
        <v>0.12886568387568592</v>
      </c>
    </row>
    <row r="56" spans="1:21" x14ac:dyDescent="0.3">
      <c r="A56" t="s">
        <v>63</v>
      </c>
      <c r="B56" t="s">
        <v>84</v>
      </c>
      <c r="C56" t="s">
        <v>174</v>
      </c>
      <c r="D56" t="s">
        <v>186</v>
      </c>
      <c r="E56">
        <v>144.94800000000001</v>
      </c>
      <c r="F56">
        <v>12.112</v>
      </c>
      <c r="G56" s="25">
        <v>1.5103665778961377</v>
      </c>
      <c r="H56" s="25">
        <f t="shared" si="0"/>
        <v>4.8247933615140388</v>
      </c>
      <c r="I56" s="49">
        <f t="shared" si="1"/>
        <v>1.19104E-4</v>
      </c>
      <c r="J56" s="12">
        <f>'7_GC measurements anaerobic'!C151</f>
        <v>160.81666666665114</v>
      </c>
      <c r="K56">
        <v>4.5129000000000001</v>
      </c>
      <c r="L56">
        <v>0.99770000000000003</v>
      </c>
      <c r="M56" s="25">
        <f t="shared" si="2"/>
        <v>725.74953499993001</v>
      </c>
      <c r="N56" s="12">
        <f t="shared" si="3"/>
        <v>8.6439672616631674E-8</v>
      </c>
      <c r="O56">
        <f>'7_GC measurements anaerobic'!D26</f>
        <v>806</v>
      </c>
      <c r="P56">
        <f>('7_GC measurements anaerobic'!$O$40*100)+('8_Respiration'!O56*100)</f>
        <v>178400</v>
      </c>
      <c r="Q56" s="126">
        <f t="shared" si="4"/>
        <v>6.4369378999078343E-6</v>
      </c>
      <c r="R56" s="12">
        <f t="shared" si="7"/>
        <v>77.243254798894014</v>
      </c>
      <c r="S56" s="53">
        <f t="shared" si="6"/>
        <v>9.9552183839906383E-2</v>
      </c>
    </row>
    <row r="57" spans="1:21" x14ac:dyDescent="0.3">
      <c r="A57" t="s">
        <v>64</v>
      </c>
      <c r="B57" t="s">
        <v>85</v>
      </c>
      <c r="C57" t="s">
        <v>175</v>
      </c>
      <c r="D57" t="s">
        <v>186</v>
      </c>
      <c r="E57">
        <v>146.256</v>
      </c>
      <c r="F57">
        <v>11.648</v>
      </c>
      <c r="G57" s="25">
        <v>1.5216307546758283</v>
      </c>
      <c r="H57" s="25">
        <f t="shared" si="0"/>
        <v>4.6192330016602385</v>
      </c>
      <c r="I57" s="49">
        <f t="shared" si="1"/>
        <v>1.19568E-4</v>
      </c>
      <c r="J57" s="12">
        <f>'7_GC measurements anaerobic'!C152</f>
        <v>160.98333333333721</v>
      </c>
      <c r="K57">
        <v>4.6139999999999999</v>
      </c>
      <c r="L57">
        <v>0.99560000000000004</v>
      </c>
      <c r="M57" s="25">
        <f t="shared" si="2"/>
        <v>742.77710000001787</v>
      </c>
      <c r="N57" s="12">
        <f t="shared" si="3"/>
        <v>8.8812372292802138E-8</v>
      </c>
      <c r="O57">
        <f>'7_GC measurements anaerobic'!D27</f>
        <v>792</v>
      </c>
      <c r="P57">
        <f>('7_GC measurements anaerobic'!$O$40*100)+('8_Respiration'!O57*100)</f>
        <v>177000</v>
      </c>
      <c r="Q57" s="126">
        <f t="shared" si="4"/>
        <v>6.5617260240847691E-6</v>
      </c>
      <c r="R57" s="12">
        <f t="shared" si="7"/>
        <v>78.740712289017239</v>
      </c>
      <c r="S57" s="53">
        <f t="shared" si="6"/>
        <v>0.10588844097089639</v>
      </c>
    </row>
    <row r="58" spans="1:21" x14ac:dyDescent="0.3">
      <c r="A58" t="s">
        <v>7</v>
      </c>
      <c r="B58" t="s">
        <v>28</v>
      </c>
      <c r="C58" t="s">
        <v>176</v>
      </c>
      <c r="D58" t="s">
        <v>186</v>
      </c>
      <c r="E58">
        <v>146.488</v>
      </c>
      <c r="F58">
        <v>12.417</v>
      </c>
      <c r="G58" s="25">
        <v>1.5675593029170103</v>
      </c>
      <c r="H58" s="25">
        <f t="shared" si="0"/>
        <v>4.8361103036229842</v>
      </c>
      <c r="I58" s="49">
        <f t="shared" si="1"/>
        <v>1.18799E-4</v>
      </c>
      <c r="J58" s="12">
        <f>'7_GC measurements anaerobic'!C153</f>
        <v>160.8833333333605</v>
      </c>
      <c r="K58">
        <v>3.9775</v>
      </c>
      <c r="L58">
        <v>0.99850000000000005</v>
      </c>
      <c r="M58" s="25">
        <f t="shared" si="2"/>
        <v>639.91345833344133</v>
      </c>
      <c r="N58" s="12">
        <f t="shared" si="3"/>
        <v>7.6021078936554491E-8</v>
      </c>
      <c r="O58">
        <f>'7_GC measurements anaerobic'!D28</f>
        <v>790</v>
      </c>
      <c r="P58">
        <f>('7_GC measurements anaerobic'!$O$40*100)+('8_Respiration'!O58*100)</f>
        <v>176800</v>
      </c>
      <c r="Q58" s="126">
        <f t="shared" si="4"/>
        <v>5.6103201618208521E-6</v>
      </c>
      <c r="R58" s="12">
        <f t="shared" si="7"/>
        <v>67.323841941850233</v>
      </c>
      <c r="S58" s="53">
        <f t="shared" si="6"/>
        <v>8.6528990713632972E-2</v>
      </c>
      <c r="U58" s="12"/>
    </row>
    <row r="59" spans="1:21" x14ac:dyDescent="0.3">
      <c r="A59" t="s">
        <v>8</v>
      </c>
      <c r="B59" t="s">
        <v>29</v>
      </c>
      <c r="C59" t="s">
        <v>177</v>
      </c>
      <c r="D59" t="s">
        <v>186</v>
      </c>
      <c r="E59">
        <v>145.982</v>
      </c>
      <c r="F59">
        <v>13.957000000000001</v>
      </c>
      <c r="G59" s="25">
        <v>1.5120188375392583</v>
      </c>
      <c r="H59" s="25">
        <f t="shared" si="0"/>
        <v>5.5560889080243125</v>
      </c>
      <c r="I59" s="49">
        <f t="shared" si="1"/>
        <v>1.1725900000000001E-4</v>
      </c>
      <c r="J59" s="12">
        <f>'7_GC measurements anaerobic'!C154</f>
        <v>160.8833333333605</v>
      </c>
      <c r="K59">
        <v>5.0355999999999996</v>
      </c>
      <c r="L59">
        <v>0.99739999999999995</v>
      </c>
      <c r="M59" s="25">
        <f t="shared" si="2"/>
        <v>810.14411333347005</v>
      </c>
      <c r="N59" s="12">
        <f t="shared" si="3"/>
        <v>9.4996688585369376E-8</v>
      </c>
      <c r="O59">
        <f>'7_GC measurements anaerobic'!D29</f>
        <v>802</v>
      </c>
      <c r="P59">
        <f>('7_GC measurements anaerobic'!$O$40*100)+('8_Respiration'!O59*100)</f>
        <v>178000</v>
      </c>
      <c r="Q59" s="126">
        <f t="shared" si="4"/>
        <v>7.0582953151762886E-6</v>
      </c>
      <c r="R59" s="12">
        <f t="shared" si="7"/>
        <v>84.699543782115455</v>
      </c>
      <c r="S59" s="53">
        <f t="shared" si="6"/>
        <v>9.4754714766302386E-2</v>
      </c>
    </row>
    <row r="60" spans="1:21" x14ac:dyDescent="0.3">
      <c r="A60" t="s">
        <v>12</v>
      </c>
      <c r="B60" t="s">
        <v>33</v>
      </c>
      <c r="C60" t="s">
        <v>178</v>
      </c>
      <c r="D60" t="s">
        <v>186</v>
      </c>
      <c r="E60">
        <v>145.98099999999999</v>
      </c>
      <c r="F60">
        <v>12.214</v>
      </c>
      <c r="G60" s="25">
        <v>1.5319529114988435</v>
      </c>
      <c r="H60" s="25">
        <f t="shared" si="0"/>
        <v>4.8239443729503098</v>
      </c>
      <c r="I60" s="49">
        <f t="shared" si="1"/>
        <v>1.1900200000000001E-4</v>
      </c>
      <c r="J60" s="12">
        <f>'7_GC measurements anaerobic'!C155</f>
        <v>160.8833333333605</v>
      </c>
      <c r="K60">
        <v>3.3132000000000001</v>
      </c>
      <c r="L60">
        <v>0.99460000000000004</v>
      </c>
      <c r="M60" s="25">
        <f t="shared" si="2"/>
        <v>533.03866000008998</v>
      </c>
      <c r="N60" s="12">
        <f t="shared" si="3"/>
        <v>6.3432666617330717E-8</v>
      </c>
      <c r="O60">
        <f>'7_GC measurements anaerobic'!D30</f>
        <v>794</v>
      </c>
      <c r="P60">
        <f>('7_GC measurements anaerobic'!$O$40*100)+('8_Respiration'!O60*100)</f>
        <v>177200</v>
      </c>
      <c r="Q60" s="126">
        <f t="shared" si="4"/>
        <v>4.691892384331025E-6</v>
      </c>
      <c r="R60" s="12">
        <f t="shared" si="7"/>
        <v>56.302708611972299</v>
      </c>
      <c r="S60" s="53">
        <f t="shared" si="6"/>
        <v>7.2546412585827724E-2</v>
      </c>
    </row>
    <row r="61" spans="1:21" x14ac:dyDescent="0.3">
      <c r="A61" t="s">
        <v>13</v>
      </c>
      <c r="B61" t="s">
        <v>34</v>
      </c>
      <c r="C61" t="s">
        <v>179</v>
      </c>
      <c r="D61" t="s">
        <v>186</v>
      </c>
      <c r="E61">
        <v>145.887</v>
      </c>
      <c r="F61">
        <v>11.355</v>
      </c>
      <c r="G61" s="25">
        <v>1.4987583827749777</v>
      </c>
      <c r="H61" s="25">
        <f t="shared" si="0"/>
        <v>4.5442568910523429</v>
      </c>
      <c r="I61" s="49">
        <f t="shared" si="1"/>
        <v>1.19861E-4</v>
      </c>
      <c r="J61" s="12">
        <f>'7_GC measurements anaerobic'!C156</f>
        <v>160.90000000008149</v>
      </c>
      <c r="K61">
        <v>2.9963000000000002</v>
      </c>
      <c r="L61">
        <v>0.99719999999999998</v>
      </c>
      <c r="M61" s="25">
        <f t="shared" si="2"/>
        <v>482.1046700002442</v>
      </c>
      <c r="N61" s="12">
        <f t="shared" si="3"/>
        <v>5.7785547850899265E-8</v>
      </c>
      <c r="O61">
        <f>'7_GC measurements anaerobic'!D31</f>
        <v>794</v>
      </c>
      <c r="P61">
        <f>('7_GC measurements anaerobic'!$O$40*100)+('8_Respiration'!O61*100)</f>
        <v>177200</v>
      </c>
      <c r="Q61" s="126">
        <f t="shared" si="4"/>
        <v>4.2741947697332879E-6</v>
      </c>
      <c r="R61" s="12">
        <f t="shared" si="7"/>
        <v>51.290337236799459</v>
      </c>
      <c r="S61" s="53">
        <f t="shared" si="6"/>
        <v>7.0148216877676084E-2</v>
      </c>
    </row>
    <row r="62" spans="1:21" x14ac:dyDescent="0.3">
      <c r="A62" t="s">
        <v>17</v>
      </c>
      <c r="B62" t="s">
        <v>38</v>
      </c>
      <c r="C62" t="s">
        <v>180</v>
      </c>
      <c r="D62" t="s">
        <v>186</v>
      </c>
      <c r="E62">
        <v>145.41900000000001</v>
      </c>
      <c r="F62">
        <v>12.071999999999999</v>
      </c>
      <c r="G62" s="25">
        <v>1.4955449731320658</v>
      </c>
      <c r="H62" s="25">
        <f t="shared" si="0"/>
        <v>4.8374203350256115</v>
      </c>
      <c r="I62" s="49">
        <f t="shared" si="1"/>
        <v>1.19144E-4</v>
      </c>
      <c r="J62" s="12">
        <f>'7_GC measurements anaerobic'!C157</f>
        <v>160.89999999990687</v>
      </c>
      <c r="K62">
        <v>1.9055</v>
      </c>
      <c r="L62">
        <v>0.99860000000000004</v>
      </c>
      <c r="M62" s="25">
        <f t="shared" si="2"/>
        <v>306.59494999982252</v>
      </c>
      <c r="N62" s="12">
        <f t="shared" si="3"/>
        <v>3.6528948722778851E-8</v>
      </c>
      <c r="O62">
        <f>'7_GC measurements anaerobic'!D32</f>
        <v>807</v>
      </c>
      <c r="P62">
        <f>('7_GC measurements anaerobic'!$O$40*100)+('8_Respiration'!O62*100)</f>
        <v>178500</v>
      </c>
      <c r="Q62" s="126">
        <f t="shared" si="4"/>
        <v>2.7217407151967998E-6</v>
      </c>
      <c r="R62" s="12">
        <f t="shared" si="7"/>
        <v>32.660888582361601</v>
      </c>
      <c r="S62" s="53">
        <f t="shared" si="6"/>
        <v>4.1962188089500162E-2</v>
      </c>
    </row>
    <row r="63" spans="1:21" x14ac:dyDescent="0.3">
      <c r="A63" t="s">
        <v>23</v>
      </c>
      <c r="B63" t="s">
        <v>39</v>
      </c>
      <c r="C63" t="s">
        <v>181</v>
      </c>
      <c r="D63" t="s">
        <v>186</v>
      </c>
      <c r="E63">
        <v>145.67699999999999</v>
      </c>
      <c r="F63">
        <v>13.311</v>
      </c>
      <c r="G63" s="25">
        <v>1.5254159967941041</v>
      </c>
      <c r="H63" s="25">
        <f t="shared" si="0"/>
        <v>5.2708147952248998</v>
      </c>
      <c r="I63" s="49">
        <f t="shared" si="1"/>
        <v>1.1790499999999999E-4</v>
      </c>
      <c r="J63" s="12">
        <f>'7_GC measurements anaerobic'!C158</f>
        <v>160.89999999990687</v>
      </c>
      <c r="K63">
        <v>3.4180000000000001</v>
      </c>
      <c r="L63">
        <v>0.99390000000000001</v>
      </c>
      <c r="M63" s="25">
        <f t="shared" si="2"/>
        <v>549.95619999968164</v>
      </c>
      <c r="N63" s="12">
        <f t="shared" si="3"/>
        <v>6.4842585760962459E-8</v>
      </c>
      <c r="O63">
        <f>'7_GC measurements anaerobic'!D33</f>
        <v>774</v>
      </c>
      <c r="P63">
        <f>('7_GC measurements anaerobic'!$O$40*100)+('8_Respiration'!O63*100)</f>
        <v>175200</v>
      </c>
      <c r="Q63" s="126">
        <f t="shared" si="4"/>
        <v>4.7420462220172242E-6</v>
      </c>
      <c r="R63" s="12">
        <f t="shared" si="7"/>
        <v>56.904554664206692</v>
      </c>
      <c r="S63" s="53">
        <f t="shared" si="6"/>
        <v>6.7098564414621628E-2</v>
      </c>
    </row>
    <row r="64" spans="1:21" x14ac:dyDescent="0.3">
      <c r="A64" t="s">
        <v>21</v>
      </c>
      <c r="B64" t="s">
        <v>43</v>
      </c>
      <c r="C64" t="s">
        <v>182</v>
      </c>
      <c r="D64" t="s">
        <v>186</v>
      </c>
      <c r="E64">
        <v>145.62100000000001</v>
      </c>
      <c r="F64">
        <v>10.081</v>
      </c>
      <c r="G64" s="25">
        <v>1.5518357412076411</v>
      </c>
      <c r="H64" s="25">
        <f t="shared" si="0"/>
        <v>3.9504893819024676</v>
      </c>
      <c r="I64" s="49">
        <f t="shared" si="1"/>
        <v>1.21135E-4</v>
      </c>
      <c r="J64" s="12">
        <f>'7_GC measurements anaerobic'!C159</f>
        <v>160.90000000008149</v>
      </c>
      <c r="K64">
        <v>2.4371999999999998</v>
      </c>
      <c r="L64">
        <v>0.99929999999999997</v>
      </c>
      <c r="M64" s="25">
        <f t="shared" si="2"/>
        <v>392.14548000019857</v>
      </c>
      <c r="N64" s="12">
        <f t="shared" si="3"/>
        <v>4.7502542719824049E-8</v>
      </c>
      <c r="O64">
        <f>'7_GC measurements anaerobic'!D34</f>
        <v>785</v>
      </c>
      <c r="P64">
        <f>('7_GC measurements anaerobic'!$O$40*100)+('8_Respiration'!O64*100)</f>
        <v>176300</v>
      </c>
      <c r="Q64" s="126">
        <f t="shared" si="4"/>
        <v>3.4957512805053813E-6</v>
      </c>
      <c r="R64" s="12">
        <f t="shared" si="7"/>
        <v>41.949015366064579</v>
      </c>
      <c r="S64" s="53">
        <f t="shared" si="6"/>
        <v>6.5995576735550759E-2</v>
      </c>
    </row>
    <row r="65" spans="1:19" ht="15" thickBot="1" x14ac:dyDescent="0.35">
      <c r="A65" s="36" t="s">
        <v>22</v>
      </c>
      <c r="B65" s="36" t="s">
        <v>44</v>
      </c>
      <c r="C65" s="36" t="s">
        <v>183</v>
      </c>
      <c r="D65" s="36" t="s">
        <v>186</v>
      </c>
      <c r="E65" s="36">
        <v>145.81700000000001</v>
      </c>
      <c r="F65" s="36">
        <v>9.5920000000000005</v>
      </c>
      <c r="G65" s="54">
        <v>1.5658599959493571</v>
      </c>
      <c r="H65" s="54">
        <f t="shared" si="0"/>
        <v>3.7383177629109108</v>
      </c>
      <c r="I65" s="55">
        <f t="shared" si="1"/>
        <v>1.21624E-4</v>
      </c>
      <c r="J65" s="56">
        <f>'7_GC measurements anaerobic'!C160</f>
        <v>160.89999999990687</v>
      </c>
      <c r="K65" s="36">
        <v>1.9048</v>
      </c>
      <c r="L65" s="36">
        <v>0.99809999999999999</v>
      </c>
      <c r="M65" s="54">
        <f t="shared" si="2"/>
        <v>306.48231999982261</v>
      </c>
      <c r="N65" s="56">
        <f t="shared" si="3"/>
        <v>3.7275605687658423E-8</v>
      </c>
      <c r="O65" s="36">
        <f>'7_GC measurements anaerobic'!D35</f>
        <v>790</v>
      </c>
      <c r="P65" s="36">
        <f>('7_GC measurements anaerobic'!$O$40*100)+('8_Respiration'!O65*100)</f>
        <v>176800</v>
      </c>
      <c r="Q65" s="57">
        <f t="shared" si="4"/>
        <v>2.7509223107460467E-6</v>
      </c>
      <c r="R65" s="56">
        <f t="shared" si="7"/>
        <v>33.011067728952561</v>
      </c>
      <c r="S65" s="58">
        <f t="shared" si="6"/>
        <v>5.4881669381973586E-2</v>
      </c>
    </row>
  </sheetData>
  <mergeCells count="4">
    <mergeCell ref="U10:U14"/>
    <mergeCell ref="U15:U16"/>
    <mergeCell ref="U30:U31"/>
    <mergeCell ref="U32:U36"/>
  </mergeCell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C7634-FA71-455D-9C30-87DDF95AE2D8}">
  <dimension ref="A1:BF172"/>
  <sheetViews>
    <sheetView zoomScale="90" workbookViewId="0">
      <selection activeCell="K10" sqref="K10"/>
    </sheetView>
  </sheetViews>
  <sheetFormatPr baseColWidth="10" defaultRowHeight="14.4" x14ac:dyDescent="0.3"/>
  <cols>
    <col min="2" max="2" width="11.6640625" bestFit="1" customWidth="1"/>
    <col min="3" max="3" width="11.6640625" customWidth="1"/>
    <col min="4" max="4" width="19.109375" customWidth="1"/>
    <col min="5" max="5" width="11.6640625" customWidth="1"/>
    <col min="6" max="6" width="11.6640625" bestFit="1" customWidth="1"/>
    <col min="7" max="7" width="11.6640625" customWidth="1"/>
    <col min="8" max="8" width="12" bestFit="1" customWidth="1"/>
    <col min="14" max="15" width="18.33203125" bestFit="1" customWidth="1"/>
  </cols>
  <sheetData>
    <row r="1" spans="1:58" ht="18" x14ac:dyDescent="0.3">
      <c r="A1" s="44" t="s">
        <v>513</v>
      </c>
      <c r="AC1" s="229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BF1" s="1"/>
    </row>
    <row r="2" spans="1:58" x14ac:dyDescent="0.3">
      <c r="A2" s="207">
        <v>45325</v>
      </c>
    </row>
    <row r="3" spans="1:58" x14ac:dyDescent="0.3">
      <c r="A3" s="115" t="s">
        <v>514</v>
      </c>
      <c r="B3" s="2">
        <v>45645.456944444442</v>
      </c>
    </row>
    <row r="4" spans="1:58" ht="18" x14ac:dyDescent="0.3">
      <c r="A4" s="44"/>
    </row>
    <row r="6" spans="1:58" ht="15" thickBot="1" x14ac:dyDescent="0.35">
      <c r="A6" s="27" t="s">
        <v>265</v>
      </c>
      <c r="P6" s="28"/>
      <c r="Q6" s="28"/>
      <c r="R6" s="28"/>
      <c r="S6" s="28"/>
    </row>
    <row r="7" spans="1:58" ht="15" thickBot="1" x14ac:dyDescent="0.35">
      <c r="A7" s="50" t="s">
        <v>283</v>
      </c>
      <c r="B7" s="51" t="s">
        <v>284</v>
      </c>
      <c r="C7" s="51" t="s">
        <v>265</v>
      </c>
      <c r="D7" s="118" t="s">
        <v>312</v>
      </c>
      <c r="E7" s="51" t="s">
        <v>299</v>
      </c>
      <c r="F7" s="51" t="s">
        <v>515</v>
      </c>
      <c r="G7" s="51" t="s">
        <v>299</v>
      </c>
      <c r="H7" s="52" t="s">
        <v>300</v>
      </c>
      <c r="P7" s="28"/>
      <c r="Q7" s="28"/>
      <c r="R7" s="28"/>
      <c r="S7" s="28"/>
    </row>
    <row r="8" spans="1:58" x14ac:dyDescent="0.3">
      <c r="A8" s="32" t="s">
        <v>156</v>
      </c>
      <c r="B8" s="2">
        <v>45691.493750000001</v>
      </c>
      <c r="C8" s="208">
        <f>(B8-$B$3)*24</f>
        <v>1104.8833333334187</v>
      </c>
      <c r="D8">
        <v>239</v>
      </c>
      <c r="E8">
        <v>3.4870000000000001</v>
      </c>
      <c r="F8">
        <f t="shared" ref="F8:F35" si="0">E8/$O$34</f>
        <v>0.47700615723962725</v>
      </c>
      <c r="H8" s="33">
        <f t="shared" ref="H8:H35" si="1">G8/$O$34</f>
        <v>0</v>
      </c>
      <c r="P8" s="28"/>
      <c r="Q8" s="28"/>
      <c r="R8" s="28"/>
      <c r="S8" s="28"/>
    </row>
    <row r="9" spans="1:58" x14ac:dyDescent="0.3">
      <c r="A9" s="32" t="s">
        <v>157</v>
      </c>
      <c r="B9" s="2">
        <v>45691.45208333333</v>
      </c>
      <c r="C9" s="208">
        <f t="shared" ref="C9:C35" si="2">(B9-$B$3)*24</f>
        <v>1103.8833333333023</v>
      </c>
      <c r="D9">
        <v>154</v>
      </c>
      <c r="E9">
        <v>9.92</v>
      </c>
      <c r="F9">
        <f t="shared" si="0"/>
        <v>1.3570120676275028</v>
      </c>
      <c r="H9" s="33">
        <f t="shared" si="1"/>
        <v>0</v>
      </c>
    </row>
    <row r="10" spans="1:58" x14ac:dyDescent="0.3">
      <c r="A10" s="32" t="s">
        <v>158</v>
      </c>
      <c r="B10" s="2">
        <v>45691.474999999999</v>
      </c>
      <c r="C10" s="208">
        <f t="shared" si="2"/>
        <v>1104.4333333333489</v>
      </c>
      <c r="D10">
        <v>351</v>
      </c>
      <c r="E10">
        <v>177.59</v>
      </c>
      <c r="F10">
        <f t="shared" si="0"/>
        <v>24.293525513101635</v>
      </c>
      <c r="H10" s="33">
        <f t="shared" si="1"/>
        <v>0</v>
      </c>
    </row>
    <row r="11" spans="1:58" x14ac:dyDescent="0.3">
      <c r="A11" s="112" t="s">
        <v>159</v>
      </c>
      <c r="B11" s="209">
        <v>45691.45208333333</v>
      </c>
      <c r="C11" s="210">
        <f t="shared" si="2"/>
        <v>1103.8833333333023</v>
      </c>
      <c r="D11" s="127"/>
      <c r="E11" s="127"/>
      <c r="F11" s="127">
        <f t="shared" si="0"/>
        <v>0</v>
      </c>
      <c r="G11" s="127"/>
      <c r="H11" s="211">
        <f t="shared" si="1"/>
        <v>0</v>
      </c>
    </row>
    <row r="12" spans="1:58" x14ac:dyDescent="0.3">
      <c r="A12" s="32" t="s">
        <v>160</v>
      </c>
      <c r="B12" s="2">
        <v>45691.49722222222</v>
      </c>
      <c r="C12" s="208">
        <f t="shared" si="2"/>
        <v>1104.9666666666744</v>
      </c>
      <c r="D12">
        <v>254</v>
      </c>
      <c r="E12">
        <v>1.095</v>
      </c>
      <c r="F12">
        <f t="shared" si="0"/>
        <v>0.14979115061009229</v>
      </c>
      <c r="H12" s="33">
        <f t="shared" si="1"/>
        <v>0</v>
      </c>
    </row>
    <row r="13" spans="1:58" x14ac:dyDescent="0.3">
      <c r="A13" s="32" t="s">
        <v>161</v>
      </c>
      <c r="B13" s="2">
        <v>45691.487500000003</v>
      </c>
      <c r="C13" s="208">
        <f t="shared" si="2"/>
        <v>1104.7333333334536</v>
      </c>
      <c r="D13">
        <v>190</v>
      </c>
      <c r="E13">
        <v>3.3079999999999998</v>
      </c>
      <c r="F13">
        <f t="shared" si="0"/>
        <v>0.45251974997094546</v>
      </c>
      <c r="H13" s="33">
        <f t="shared" si="1"/>
        <v>0</v>
      </c>
    </row>
    <row r="14" spans="1:58" x14ac:dyDescent="0.3">
      <c r="A14" s="112" t="s">
        <v>162</v>
      </c>
      <c r="B14" s="209">
        <v>45691.45208333333</v>
      </c>
      <c r="C14" s="210">
        <f t="shared" si="2"/>
        <v>1103.8833333333023</v>
      </c>
      <c r="D14" s="127"/>
      <c r="E14" s="127"/>
      <c r="F14" s="127">
        <f t="shared" si="0"/>
        <v>0</v>
      </c>
      <c r="G14" s="127"/>
      <c r="H14" s="211">
        <f t="shared" si="1"/>
        <v>0</v>
      </c>
    </row>
    <row r="15" spans="1:58" x14ac:dyDescent="0.3">
      <c r="A15" s="112" t="s">
        <v>163</v>
      </c>
      <c r="B15" s="209">
        <v>45691.45208333333</v>
      </c>
      <c r="C15" s="210">
        <f t="shared" si="2"/>
        <v>1103.8833333333023</v>
      </c>
      <c r="D15" s="127"/>
      <c r="E15" s="127"/>
      <c r="F15" s="127">
        <f t="shared" si="0"/>
        <v>0</v>
      </c>
      <c r="G15" s="127"/>
      <c r="H15" s="211">
        <f t="shared" si="1"/>
        <v>0</v>
      </c>
    </row>
    <row r="16" spans="1:58" x14ac:dyDescent="0.3">
      <c r="A16" s="112" t="s">
        <v>164</v>
      </c>
      <c r="B16" s="209">
        <v>45691.45208333333</v>
      </c>
      <c r="C16" s="210">
        <f t="shared" si="2"/>
        <v>1103.8833333333023</v>
      </c>
      <c r="D16" s="127"/>
      <c r="E16" s="127"/>
      <c r="F16" s="127">
        <f t="shared" si="0"/>
        <v>0</v>
      </c>
      <c r="G16" s="127"/>
      <c r="H16" s="211">
        <f t="shared" si="1"/>
        <v>0</v>
      </c>
    </row>
    <row r="17" spans="1:20" x14ac:dyDescent="0.3">
      <c r="A17" s="32" t="s">
        <v>165</v>
      </c>
      <c r="B17" s="2">
        <v>45691.478472222225</v>
      </c>
      <c r="C17" s="208">
        <f t="shared" si="2"/>
        <v>1104.5166666667792</v>
      </c>
      <c r="D17">
        <v>254</v>
      </c>
      <c r="E17">
        <v>15.553000000000001</v>
      </c>
      <c r="F17">
        <f t="shared" si="0"/>
        <v>2.1275815209486444</v>
      </c>
      <c r="H17" s="33">
        <f t="shared" si="1"/>
        <v>0</v>
      </c>
    </row>
    <row r="18" spans="1:20" x14ac:dyDescent="0.3">
      <c r="A18" s="112" t="s">
        <v>166</v>
      </c>
      <c r="B18" s="209">
        <v>45691.45208333333</v>
      </c>
      <c r="C18" s="210">
        <f t="shared" si="2"/>
        <v>1103.8833333333023</v>
      </c>
      <c r="D18" s="127"/>
      <c r="E18" s="127"/>
      <c r="F18" s="127">
        <f t="shared" si="0"/>
        <v>0</v>
      </c>
      <c r="G18" s="127"/>
      <c r="H18" s="211">
        <f t="shared" si="1"/>
        <v>0</v>
      </c>
      <c r="N18" s="38"/>
    </row>
    <row r="19" spans="1:20" x14ac:dyDescent="0.3">
      <c r="A19" s="32" t="s">
        <v>167</v>
      </c>
      <c r="B19" s="2">
        <v>45691.503472222219</v>
      </c>
      <c r="C19" s="208">
        <f t="shared" si="2"/>
        <v>1105.1166666666395</v>
      </c>
      <c r="D19">
        <v>189</v>
      </c>
      <c r="E19">
        <v>13.343</v>
      </c>
      <c r="F19">
        <f t="shared" si="0"/>
        <v>1.8252633083017913</v>
      </c>
      <c r="H19" s="33">
        <f t="shared" si="1"/>
        <v>0</v>
      </c>
    </row>
    <row r="20" spans="1:20" ht="15" thickBot="1" x14ac:dyDescent="0.35">
      <c r="A20" s="32" t="s">
        <v>168</v>
      </c>
      <c r="B20" s="2">
        <v>45691.5</v>
      </c>
      <c r="C20" s="208">
        <f t="shared" si="2"/>
        <v>1105.0333333333838</v>
      </c>
      <c r="D20">
        <v>81</v>
      </c>
      <c r="E20">
        <v>6.46</v>
      </c>
      <c r="F20">
        <f t="shared" si="0"/>
        <v>0.88369939081387783</v>
      </c>
      <c r="H20" s="33">
        <f t="shared" si="1"/>
        <v>0</v>
      </c>
    </row>
    <row r="21" spans="1:20" x14ac:dyDescent="0.3">
      <c r="A21" s="112" t="s">
        <v>169</v>
      </c>
      <c r="B21" s="209">
        <v>45691.45208333333</v>
      </c>
      <c r="C21" s="210">
        <f t="shared" si="2"/>
        <v>1103.8833333333023</v>
      </c>
      <c r="D21" s="127"/>
      <c r="E21" s="127"/>
      <c r="F21" s="127">
        <f t="shared" si="0"/>
        <v>0</v>
      </c>
      <c r="G21" s="127"/>
      <c r="H21" s="211">
        <f t="shared" si="1"/>
        <v>0</v>
      </c>
      <c r="O21" s="29" t="s">
        <v>301</v>
      </c>
      <c r="P21" s="30" t="s">
        <v>264</v>
      </c>
      <c r="Q21" s="30"/>
      <c r="R21" s="31"/>
    </row>
    <row r="22" spans="1:20" x14ac:dyDescent="0.3">
      <c r="A22" s="112" t="s">
        <v>170</v>
      </c>
      <c r="B22" s="209">
        <v>45691.45208333333</v>
      </c>
      <c r="C22" s="210">
        <f t="shared" si="2"/>
        <v>1103.8833333333023</v>
      </c>
      <c r="D22" s="127"/>
      <c r="E22" s="127"/>
      <c r="F22" s="127">
        <f t="shared" si="0"/>
        <v>0</v>
      </c>
      <c r="G22" s="127"/>
      <c r="H22" s="211">
        <f t="shared" si="1"/>
        <v>0</v>
      </c>
      <c r="O22" s="32">
        <v>2</v>
      </c>
      <c r="P22" s="28">
        <v>0.44374999999999998</v>
      </c>
      <c r="Q22" s="28">
        <v>0.44861111111111113</v>
      </c>
      <c r="R22" s="117">
        <v>0.45624999999999999</v>
      </c>
      <c r="S22" s="28">
        <v>0.50624999999999998</v>
      </c>
    </row>
    <row r="23" spans="1:20" x14ac:dyDescent="0.3">
      <c r="A23" s="112" t="s">
        <v>171</v>
      </c>
      <c r="B23" s="209">
        <v>45691.45208333333</v>
      </c>
      <c r="C23" s="210">
        <f t="shared" si="2"/>
        <v>1103.8833333333023</v>
      </c>
      <c r="D23" s="127"/>
      <c r="E23" s="127"/>
      <c r="F23" s="127">
        <f t="shared" si="0"/>
        <v>0</v>
      </c>
      <c r="G23" s="127"/>
      <c r="H23" s="211">
        <f t="shared" si="1"/>
        <v>0</v>
      </c>
      <c r="O23" s="32">
        <v>30</v>
      </c>
      <c r="P23" s="28">
        <v>0.4597222222222222</v>
      </c>
      <c r="Q23" s="28">
        <v>0.46388888888888891</v>
      </c>
      <c r="R23" s="117">
        <v>0.50972222222222219</v>
      </c>
      <c r="S23" s="28"/>
    </row>
    <row r="24" spans="1:20" ht="15" thickBot="1" x14ac:dyDescent="0.35">
      <c r="A24" s="112" t="s">
        <v>172</v>
      </c>
      <c r="B24" s="209">
        <v>45691.45208333333</v>
      </c>
      <c r="C24" s="210">
        <f t="shared" si="2"/>
        <v>1103.8833333333023</v>
      </c>
      <c r="D24" s="127"/>
      <c r="E24" s="127"/>
      <c r="F24" s="127">
        <f t="shared" si="0"/>
        <v>0</v>
      </c>
      <c r="G24" s="127"/>
      <c r="H24" s="211">
        <f t="shared" si="1"/>
        <v>0</v>
      </c>
      <c r="O24" s="41">
        <v>1000</v>
      </c>
      <c r="P24" s="119">
        <v>0.46666666666666667</v>
      </c>
      <c r="Q24" s="119">
        <v>0.47083333333333333</v>
      </c>
      <c r="R24" s="120">
        <v>0.51249999999999996</v>
      </c>
      <c r="S24" s="28"/>
    </row>
    <row r="25" spans="1:20" x14ac:dyDescent="0.3">
      <c r="A25" s="32" t="s">
        <v>173</v>
      </c>
      <c r="B25" s="2">
        <v>45691.484722222223</v>
      </c>
      <c r="C25" s="208">
        <f t="shared" si="2"/>
        <v>1104.6666666667443</v>
      </c>
      <c r="D25">
        <v>197</v>
      </c>
      <c r="E25">
        <v>12.795</v>
      </c>
      <c r="F25">
        <f t="shared" si="0"/>
        <v>1.7502993352110785</v>
      </c>
      <c r="H25" s="33">
        <f t="shared" si="1"/>
        <v>0</v>
      </c>
    </row>
    <row r="26" spans="1:20" x14ac:dyDescent="0.3">
      <c r="A26" s="32" t="s">
        <v>174</v>
      </c>
      <c r="B26" s="2">
        <v>45691.481249999997</v>
      </c>
      <c r="C26" s="208">
        <f t="shared" si="2"/>
        <v>1104.5833333333139</v>
      </c>
      <c r="D26">
        <v>49</v>
      </c>
      <c r="E26">
        <v>7.2365000000000004</v>
      </c>
      <c r="F26">
        <f t="shared" si="0"/>
        <v>0.98992115195427666</v>
      </c>
      <c r="H26" s="33">
        <f t="shared" si="1"/>
        <v>0</v>
      </c>
    </row>
    <row r="27" spans="1:20" ht="15" thickBot="1" x14ac:dyDescent="0.35">
      <c r="A27" s="112" t="s">
        <v>175</v>
      </c>
      <c r="B27" s="209">
        <v>45691.45208333333</v>
      </c>
      <c r="C27" s="210">
        <f t="shared" si="2"/>
        <v>1103.8833333333023</v>
      </c>
      <c r="D27" s="127"/>
      <c r="E27" s="127"/>
      <c r="F27" s="127">
        <f t="shared" si="0"/>
        <v>0</v>
      </c>
      <c r="G27" s="127"/>
      <c r="H27" s="211">
        <f t="shared" si="1"/>
        <v>0</v>
      </c>
      <c r="N27" t="s">
        <v>303</v>
      </c>
    </row>
    <row r="28" spans="1:20" x14ac:dyDescent="0.3">
      <c r="A28" s="112" t="s">
        <v>176</v>
      </c>
      <c r="B28" s="209">
        <v>45691.45208333333</v>
      </c>
      <c r="C28" s="210">
        <f t="shared" si="2"/>
        <v>1103.8833333333023</v>
      </c>
      <c r="D28" s="127"/>
      <c r="E28" s="127"/>
      <c r="F28" s="127">
        <f t="shared" si="0"/>
        <v>0</v>
      </c>
      <c r="G28" s="212"/>
      <c r="H28" s="211">
        <f t="shared" si="1"/>
        <v>0</v>
      </c>
      <c r="N28" s="29" t="s">
        <v>301</v>
      </c>
      <c r="O28" s="30" t="s">
        <v>269</v>
      </c>
      <c r="P28" s="30" t="s">
        <v>270</v>
      </c>
      <c r="Q28" s="30" t="s">
        <v>271</v>
      </c>
      <c r="R28" s="30" t="s">
        <v>272</v>
      </c>
      <c r="S28" s="30" t="s">
        <v>273</v>
      </c>
      <c r="T28" s="31" t="s">
        <v>274</v>
      </c>
    </row>
    <row r="29" spans="1:20" x14ac:dyDescent="0.3">
      <c r="A29" s="112" t="s">
        <v>177</v>
      </c>
      <c r="B29" s="209">
        <v>45691.45208333333</v>
      </c>
      <c r="C29" s="210">
        <f t="shared" si="2"/>
        <v>1103.8833333333023</v>
      </c>
      <c r="D29" s="127"/>
      <c r="E29" s="127"/>
      <c r="F29" s="127">
        <f t="shared" si="0"/>
        <v>0</v>
      </c>
      <c r="G29" s="127"/>
      <c r="H29" s="211">
        <f t="shared" si="1"/>
        <v>0</v>
      </c>
      <c r="N29" s="32">
        <v>0</v>
      </c>
      <c r="O29">
        <v>0</v>
      </c>
      <c r="T29" s="33"/>
    </row>
    <row r="30" spans="1:20" x14ac:dyDescent="0.3">
      <c r="A30" s="112" t="s">
        <v>178</v>
      </c>
      <c r="B30" s="209">
        <v>45691.45208333333</v>
      </c>
      <c r="C30" s="210">
        <f t="shared" si="2"/>
        <v>1103.8833333333023</v>
      </c>
      <c r="D30" s="127"/>
      <c r="E30" s="127"/>
      <c r="F30" s="127">
        <f t="shared" si="0"/>
        <v>0</v>
      </c>
      <c r="G30" s="127"/>
      <c r="H30" s="211">
        <f t="shared" si="1"/>
        <v>0</v>
      </c>
      <c r="N30" s="32">
        <v>2</v>
      </c>
      <c r="O30">
        <f>AVERAGE(P30:T30)</f>
        <v>15.798875000000002</v>
      </c>
      <c r="P30" s="213">
        <v>15.006</v>
      </c>
      <c r="Q30">
        <v>16.671500000000002</v>
      </c>
      <c r="R30">
        <v>15.422000000000001</v>
      </c>
      <c r="S30">
        <v>16.096</v>
      </c>
      <c r="T30" s="33"/>
    </row>
    <row r="31" spans="1:20" x14ac:dyDescent="0.3">
      <c r="A31" s="112" t="s">
        <v>179</v>
      </c>
      <c r="B31" s="209">
        <v>45691.45208333333</v>
      </c>
      <c r="C31" s="210">
        <f t="shared" si="2"/>
        <v>1103.8833333333023</v>
      </c>
      <c r="D31" s="127"/>
      <c r="E31" s="127"/>
      <c r="F31" s="127">
        <f t="shared" si="0"/>
        <v>0</v>
      </c>
      <c r="G31" s="127"/>
      <c r="H31" s="211">
        <f t="shared" si="1"/>
        <v>0</v>
      </c>
      <c r="N31" s="32">
        <v>30</v>
      </c>
      <c r="O31">
        <f>AVERAGE(P31:T31)</f>
        <v>214.28816666666663</v>
      </c>
      <c r="P31">
        <v>215.66749999999999</v>
      </c>
      <c r="Q31">
        <v>213.59899999999999</v>
      </c>
      <c r="R31">
        <v>213.59800000000001</v>
      </c>
      <c r="T31" s="33"/>
    </row>
    <row r="32" spans="1:20" x14ac:dyDescent="0.3">
      <c r="A32" s="112" t="s">
        <v>180</v>
      </c>
      <c r="B32" s="209">
        <v>45691.45208333333</v>
      </c>
      <c r="C32" s="210">
        <f t="shared" si="2"/>
        <v>1103.8833333333023</v>
      </c>
      <c r="D32" s="127"/>
      <c r="E32" s="127"/>
      <c r="F32" s="127">
        <f t="shared" si="0"/>
        <v>0</v>
      </c>
      <c r="G32" s="127"/>
      <c r="H32" s="211">
        <f t="shared" si="1"/>
        <v>0</v>
      </c>
      <c r="N32" s="32">
        <v>1000</v>
      </c>
      <c r="O32">
        <f>AVERAGE(P32:T32)</f>
        <v>7310.3263333333334</v>
      </c>
      <c r="P32">
        <v>7313.4979999999996</v>
      </c>
      <c r="Q32">
        <v>7298.5339999999997</v>
      </c>
      <c r="R32">
        <v>7318.9470000000001</v>
      </c>
      <c r="T32" s="33"/>
    </row>
    <row r="33" spans="1:20" ht="15" thickBot="1" x14ac:dyDescent="0.35">
      <c r="A33" s="112" t="s">
        <v>181</v>
      </c>
      <c r="B33" s="209">
        <v>45691.45208333333</v>
      </c>
      <c r="C33" s="210">
        <f t="shared" si="2"/>
        <v>1103.8833333333023</v>
      </c>
      <c r="D33" s="127"/>
      <c r="E33" s="127"/>
      <c r="F33" s="127">
        <f t="shared" si="0"/>
        <v>0</v>
      </c>
      <c r="G33" s="127"/>
      <c r="H33" s="211">
        <f t="shared" si="1"/>
        <v>0</v>
      </c>
      <c r="N33" s="32"/>
      <c r="T33" s="33"/>
    </row>
    <row r="34" spans="1:20" ht="15" thickBot="1" x14ac:dyDescent="0.35">
      <c r="A34" s="112" t="s">
        <v>182</v>
      </c>
      <c r="B34" s="209">
        <v>45691.45208333333</v>
      </c>
      <c r="C34" s="210">
        <f t="shared" si="2"/>
        <v>1103.8833333333023</v>
      </c>
      <c r="D34" s="127"/>
      <c r="E34" s="127"/>
      <c r="F34" s="127">
        <f t="shared" si="0"/>
        <v>0</v>
      </c>
      <c r="G34" s="127"/>
      <c r="H34" s="211">
        <f t="shared" si="1"/>
        <v>0</v>
      </c>
      <c r="N34" s="34" t="s">
        <v>302</v>
      </c>
      <c r="O34" s="35" cm="1">
        <f t="array" ref="O34:P34">LINEST(O29:O32,N29:N32,FALSE,FALSE)</f>
        <v>7.3101781750131209</v>
      </c>
      <c r="P34" s="36">
        <v>0</v>
      </c>
      <c r="Q34" s="36"/>
      <c r="R34" s="36"/>
      <c r="S34" s="36"/>
      <c r="T34" s="37"/>
    </row>
    <row r="35" spans="1:20" ht="15" thickBot="1" x14ac:dyDescent="0.35">
      <c r="A35" s="113" t="s">
        <v>183</v>
      </c>
      <c r="B35" s="209">
        <v>45691.45208333333</v>
      </c>
      <c r="C35" s="210">
        <f t="shared" si="2"/>
        <v>1103.8833333333023</v>
      </c>
      <c r="D35" s="114"/>
      <c r="E35" s="114"/>
      <c r="F35" s="127">
        <f t="shared" si="0"/>
        <v>0</v>
      </c>
      <c r="G35" s="114"/>
      <c r="H35" s="214">
        <f t="shared" si="1"/>
        <v>0</v>
      </c>
    </row>
    <row r="38" spans="1:20" ht="15" thickBot="1" x14ac:dyDescent="0.35"/>
    <row r="39" spans="1:20" x14ac:dyDescent="0.3">
      <c r="N39" s="29" t="s">
        <v>276</v>
      </c>
      <c r="O39" s="39">
        <v>21.7</v>
      </c>
    </row>
    <row r="40" spans="1:20" x14ac:dyDescent="0.3">
      <c r="N40" s="32" t="s">
        <v>277</v>
      </c>
      <c r="O40" s="40">
        <v>986</v>
      </c>
    </row>
    <row r="41" spans="1:20" ht="15" thickBot="1" x14ac:dyDescent="0.35">
      <c r="N41" s="41" t="s">
        <v>278</v>
      </c>
      <c r="O41" s="42">
        <v>44.1</v>
      </c>
    </row>
    <row r="45" spans="1:20" x14ac:dyDescent="0.3">
      <c r="C45" s="12"/>
    </row>
    <row r="47" spans="1:20" ht="15" thickBot="1" x14ac:dyDescent="0.35">
      <c r="A47" s="27" t="s">
        <v>279</v>
      </c>
      <c r="B47" s="1"/>
      <c r="C47" s="1"/>
      <c r="D47" s="1"/>
      <c r="E47" s="1"/>
      <c r="F47" s="1"/>
    </row>
    <row r="48" spans="1:20" ht="15" thickBot="1" x14ac:dyDescent="0.35">
      <c r="A48" s="50" t="s">
        <v>283</v>
      </c>
      <c r="B48" s="51" t="s">
        <v>284</v>
      </c>
      <c r="C48" s="51" t="s">
        <v>279</v>
      </c>
      <c r="D48" s="118" t="s">
        <v>312</v>
      </c>
      <c r="E48" s="51" t="s">
        <v>299</v>
      </c>
      <c r="F48" s="51" t="s">
        <v>300</v>
      </c>
      <c r="G48" s="52" t="s">
        <v>297</v>
      </c>
      <c r="H48" s="1"/>
      <c r="I48" s="1"/>
      <c r="J48" s="1"/>
      <c r="K48" s="1"/>
      <c r="L48" s="1"/>
    </row>
    <row r="49" spans="1:19" x14ac:dyDescent="0.3">
      <c r="A49" s="32" t="s">
        <v>156</v>
      </c>
      <c r="B49" s="2">
        <v>45736.400694444441</v>
      </c>
      <c r="C49" s="12">
        <f>(B49-$B$3)*24</f>
        <v>2182.6499999999651</v>
      </c>
      <c r="D49">
        <v>203</v>
      </c>
      <c r="E49">
        <v>7.1639999999999997</v>
      </c>
      <c r="F49">
        <f>E49/$O$78</f>
        <v>0.99157293749896136</v>
      </c>
      <c r="G49" s="33">
        <f>E49-E8</f>
        <v>3.6769999999999996</v>
      </c>
      <c r="P49" s="28"/>
      <c r="Q49" s="28"/>
      <c r="R49" s="28"/>
      <c r="S49" s="28"/>
    </row>
    <row r="50" spans="1:19" x14ac:dyDescent="0.3">
      <c r="A50" s="32" t="s">
        <v>157</v>
      </c>
      <c r="B50" s="2">
        <v>45736.40347222222</v>
      </c>
      <c r="C50" s="12">
        <f t="shared" ref="C50:C76" si="3">(B50-$B$3)*24</f>
        <v>2182.7166666666744</v>
      </c>
      <c r="D50">
        <v>163</v>
      </c>
      <c r="E50">
        <v>294.57799999999997</v>
      </c>
      <c r="F50">
        <f t="shared" ref="F50:F76" si="4">E50/$O$78</f>
        <v>40.772693018225716</v>
      </c>
      <c r="G50" s="33">
        <f t="shared" ref="G50:G76" si="5">E50-E9</f>
        <v>284.65799999999996</v>
      </c>
      <c r="P50" s="28"/>
      <c r="Q50" s="28"/>
      <c r="R50" s="28"/>
      <c r="S50" s="28"/>
    </row>
    <row r="51" spans="1:19" x14ac:dyDescent="0.3">
      <c r="A51" s="32" t="s">
        <v>158</v>
      </c>
      <c r="B51" s="2">
        <v>45736.40625</v>
      </c>
      <c r="C51" s="12">
        <f t="shared" si="3"/>
        <v>2182.7833333333838</v>
      </c>
      <c r="D51">
        <v>333</v>
      </c>
      <c r="E51">
        <v>558.87049999999999</v>
      </c>
      <c r="F51">
        <f t="shared" si="4"/>
        <v>77.353554350434578</v>
      </c>
      <c r="G51" s="33">
        <f t="shared" si="5"/>
        <v>381.28049999999996</v>
      </c>
      <c r="P51" s="28"/>
      <c r="Q51" s="28"/>
      <c r="R51" s="28"/>
      <c r="S51" s="28"/>
    </row>
    <row r="52" spans="1:19" x14ac:dyDescent="0.3">
      <c r="A52" s="112" t="s">
        <v>159</v>
      </c>
      <c r="B52" s="209">
        <v>45736.400694444441</v>
      </c>
      <c r="C52" s="215">
        <f t="shared" si="3"/>
        <v>2182.6499999999651</v>
      </c>
      <c r="D52" s="127"/>
      <c r="E52" s="127"/>
      <c r="F52" s="127">
        <f t="shared" si="4"/>
        <v>0</v>
      </c>
      <c r="G52" s="211">
        <f t="shared" si="5"/>
        <v>0</v>
      </c>
    </row>
    <row r="53" spans="1:19" x14ac:dyDescent="0.3">
      <c r="A53" s="32" t="s">
        <v>160</v>
      </c>
      <c r="B53" s="2">
        <v>45736.40902777778</v>
      </c>
      <c r="C53" s="12">
        <f t="shared" si="3"/>
        <v>2182.8500000000931</v>
      </c>
      <c r="D53">
        <v>244</v>
      </c>
      <c r="E53">
        <v>17.381499999999999</v>
      </c>
      <c r="F53">
        <f t="shared" si="4"/>
        <v>2.4057823859768561</v>
      </c>
      <c r="G53" s="33">
        <f t="shared" si="5"/>
        <v>16.2865</v>
      </c>
    </row>
    <row r="54" spans="1:19" x14ac:dyDescent="0.3">
      <c r="A54" s="32" t="s">
        <v>161</v>
      </c>
      <c r="B54" s="2">
        <v>45736.411805555559</v>
      </c>
      <c r="C54" s="12">
        <f t="shared" si="3"/>
        <v>2182.9166666668025</v>
      </c>
      <c r="D54">
        <v>185</v>
      </c>
      <c r="E54">
        <v>3.8860000000000001</v>
      </c>
      <c r="F54">
        <f t="shared" si="4"/>
        <v>0.53786326565060916</v>
      </c>
      <c r="G54" s="33">
        <f t="shared" si="5"/>
        <v>0.57800000000000029</v>
      </c>
    </row>
    <row r="55" spans="1:19" x14ac:dyDescent="0.3">
      <c r="A55" s="112" t="s">
        <v>162</v>
      </c>
      <c r="B55" s="209">
        <v>45736.400694444441</v>
      </c>
      <c r="C55" s="215">
        <f t="shared" si="3"/>
        <v>2182.6499999999651</v>
      </c>
      <c r="D55" s="127"/>
      <c r="E55" s="127"/>
      <c r="F55" s="127">
        <f t="shared" si="4"/>
        <v>0</v>
      </c>
      <c r="G55" s="211">
        <f t="shared" si="5"/>
        <v>0</v>
      </c>
    </row>
    <row r="56" spans="1:19" x14ac:dyDescent="0.3">
      <c r="A56" s="112" t="s">
        <v>163</v>
      </c>
      <c r="B56" s="209">
        <v>45736.400694444441</v>
      </c>
      <c r="C56" s="215">
        <f t="shared" si="3"/>
        <v>2182.6499999999651</v>
      </c>
      <c r="D56" s="127"/>
      <c r="E56" s="127"/>
      <c r="F56" s="127">
        <f t="shared" si="4"/>
        <v>0</v>
      </c>
      <c r="G56" s="211">
        <f t="shared" si="5"/>
        <v>0</v>
      </c>
    </row>
    <row r="57" spans="1:19" x14ac:dyDescent="0.3">
      <c r="A57" s="112" t="s">
        <v>164</v>
      </c>
      <c r="B57" s="209">
        <v>45736.400694444441</v>
      </c>
      <c r="C57" s="215">
        <f t="shared" si="3"/>
        <v>2182.6499999999651</v>
      </c>
      <c r="D57" s="127"/>
      <c r="E57" s="127"/>
      <c r="F57" s="127">
        <f t="shared" si="4"/>
        <v>0</v>
      </c>
      <c r="G57" s="211">
        <f t="shared" si="5"/>
        <v>0</v>
      </c>
      <c r="P57" s="4"/>
    </row>
    <row r="58" spans="1:19" x14ac:dyDescent="0.3">
      <c r="A58" s="32" t="s">
        <v>165</v>
      </c>
      <c r="B58" s="2">
        <v>45736.414583333331</v>
      </c>
      <c r="C58" s="12">
        <f t="shared" si="3"/>
        <v>2182.9833333333372</v>
      </c>
      <c r="D58">
        <v>261</v>
      </c>
      <c r="E58">
        <v>3.137</v>
      </c>
      <c r="F58">
        <f t="shared" si="4"/>
        <v>0.43419378907513151</v>
      </c>
      <c r="G58" s="33">
        <f t="shared" si="5"/>
        <v>-12.416</v>
      </c>
    </row>
    <row r="59" spans="1:19" x14ac:dyDescent="0.3">
      <c r="A59" s="112" t="s">
        <v>166</v>
      </c>
      <c r="B59" s="209">
        <v>45736.400694444441</v>
      </c>
      <c r="C59" s="215">
        <f t="shared" si="3"/>
        <v>2182.6499999999651</v>
      </c>
      <c r="D59" s="127"/>
      <c r="E59" s="127"/>
      <c r="F59" s="127">
        <f t="shared" si="4"/>
        <v>0</v>
      </c>
      <c r="G59" s="211">
        <f t="shared" si="5"/>
        <v>0</v>
      </c>
    </row>
    <row r="60" spans="1:19" x14ac:dyDescent="0.3">
      <c r="A60" s="32" t="s">
        <v>167</v>
      </c>
      <c r="B60" s="2">
        <v>45736.417361111111</v>
      </c>
      <c r="C60" s="12">
        <f t="shared" si="3"/>
        <v>2183.0500000000466</v>
      </c>
      <c r="D60">
        <v>171</v>
      </c>
      <c r="E60">
        <v>341.82549999999998</v>
      </c>
      <c r="F60">
        <f t="shared" si="4"/>
        <v>47.312243878706198</v>
      </c>
      <c r="G60" s="33">
        <f t="shared" si="5"/>
        <v>328.48249999999996</v>
      </c>
    </row>
    <row r="61" spans="1:19" x14ac:dyDescent="0.3">
      <c r="A61" s="32" t="s">
        <v>168</v>
      </c>
      <c r="B61" s="2">
        <v>45736.420138888891</v>
      </c>
      <c r="C61" s="12">
        <f t="shared" si="3"/>
        <v>2183.1166666667559</v>
      </c>
      <c r="D61">
        <v>67</v>
      </c>
      <c r="E61">
        <v>19.1175</v>
      </c>
      <c r="F61">
        <f t="shared" si="4"/>
        <v>2.6460630419648794</v>
      </c>
      <c r="G61" s="33">
        <f t="shared" si="5"/>
        <v>12.657499999999999</v>
      </c>
      <c r="N61" s="38"/>
    </row>
    <row r="62" spans="1:19" x14ac:dyDescent="0.3">
      <c r="A62" s="112" t="s">
        <v>169</v>
      </c>
      <c r="B62" s="209">
        <v>45736.400694444441</v>
      </c>
      <c r="C62" s="215">
        <f t="shared" si="3"/>
        <v>2182.6499999999651</v>
      </c>
      <c r="D62" s="127"/>
      <c r="E62" s="127"/>
      <c r="F62" s="127">
        <f t="shared" si="4"/>
        <v>0</v>
      </c>
      <c r="G62" s="211">
        <f t="shared" si="5"/>
        <v>0</v>
      </c>
    </row>
    <row r="63" spans="1:19" x14ac:dyDescent="0.3">
      <c r="A63" s="112" t="s">
        <v>170</v>
      </c>
      <c r="B63" s="209">
        <v>45736.400694444441</v>
      </c>
      <c r="C63" s="215">
        <f t="shared" si="3"/>
        <v>2182.6499999999651</v>
      </c>
      <c r="D63" s="127"/>
      <c r="E63" s="127"/>
      <c r="F63" s="127">
        <f t="shared" si="4"/>
        <v>0</v>
      </c>
      <c r="G63" s="211">
        <f t="shared" si="5"/>
        <v>0</v>
      </c>
    </row>
    <row r="64" spans="1:19" ht="15" thickBot="1" x14ac:dyDescent="0.35">
      <c r="A64" s="112" t="s">
        <v>171</v>
      </c>
      <c r="B64" s="209">
        <v>45736.400694444441</v>
      </c>
      <c r="C64" s="215">
        <f t="shared" si="3"/>
        <v>2182.6499999999651</v>
      </c>
      <c r="D64" s="127"/>
      <c r="E64" s="127"/>
      <c r="F64" s="127">
        <f t="shared" si="4"/>
        <v>0</v>
      </c>
      <c r="G64" s="211">
        <f t="shared" si="5"/>
        <v>0</v>
      </c>
    </row>
    <row r="65" spans="1:20" x14ac:dyDescent="0.3">
      <c r="A65" s="112" t="s">
        <v>172</v>
      </c>
      <c r="B65" s="209">
        <v>45736.400694444441</v>
      </c>
      <c r="C65" s="215">
        <f t="shared" si="3"/>
        <v>2182.6499999999651</v>
      </c>
      <c r="D65" s="127"/>
      <c r="E65" s="127"/>
      <c r="F65" s="127">
        <f t="shared" si="4"/>
        <v>0</v>
      </c>
      <c r="G65" s="211">
        <f t="shared" si="5"/>
        <v>0</v>
      </c>
      <c r="O65" s="29" t="s">
        <v>301</v>
      </c>
      <c r="P65" s="30" t="s">
        <v>264</v>
      </c>
      <c r="Q65" s="30"/>
      <c r="R65" s="31"/>
    </row>
    <row r="66" spans="1:20" x14ac:dyDescent="0.3">
      <c r="A66" s="32" t="s">
        <v>173</v>
      </c>
      <c r="B66" s="2">
        <v>45736.42291666667</v>
      </c>
      <c r="C66" s="12">
        <f t="shared" si="3"/>
        <v>2183.1833333334653</v>
      </c>
      <c r="D66">
        <v>191</v>
      </c>
      <c r="E66">
        <v>19.768000000000001</v>
      </c>
      <c r="F66">
        <f t="shared" si="4"/>
        <v>2.736099082702327</v>
      </c>
      <c r="G66" s="33">
        <f t="shared" si="5"/>
        <v>6.9730000000000008</v>
      </c>
      <c r="O66" s="32">
        <v>2</v>
      </c>
      <c r="P66" s="28">
        <v>0.39583333333333331</v>
      </c>
      <c r="Q66" s="28">
        <v>0.39791666666666664</v>
      </c>
      <c r="R66" s="117">
        <v>0.4284722222222222</v>
      </c>
      <c r="S66" s="28"/>
    </row>
    <row r="67" spans="1:20" x14ac:dyDescent="0.3">
      <c r="A67" s="32" t="s">
        <v>174</v>
      </c>
      <c r="B67" s="2">
        <v>45736.425694444442</v>
      </c>
      <c r="C67" s="12">
        <f t="shared" si="3"/>
        <v>2183.25</v>
      </c>
      <c r="D67">
        <v>43</v>
      </c>
      <c r="E67">
        <v>4.7009999999999996</v>
      </c>
      <c r="F67">
        <f t="shared" si="4"/>
        <v>0.65066783629014757</v>
      </c>
      <c r="G67" s="33">
        <f t="shared" si="5"/>
        <v>-2.5355000000000008</v>
      </c>
      <c r="O67" s="32">
        <v>30</v>
      </c>
      <c r="P67" s="28">
        <v>0.38333333333333336</v>
      </c>
      <c r="Q67" s="28">
        <v>0.38541666666666669</v>
      </c>
      <c r="R67" s="117">
        <v>0.43125000000000002</v>
      </c>
      <c r="S67" s="28"/>
    </row>
    <row r="68" spans="1:20" ht="15" thickBot="1" x14ac:dyDescent="0.35">
      <c r="A68" s="112" t="s">
        <v>175</v>
      </c>
      <c r="B68" s="209">
        <v>45736.400694444441</v>
      </c>
      <c r="C68" s="215">
        <f t="shared" si="3"/>
        <v>2182.6499999999651</v>
      </c>
      <c r="D68" s="127"/>
      <c r="E68" s="127"/>
      <c r="F68" s="127">
        <f t="shared" si="4"/>
        <v>0</v>
      </c>
      <c r="G68" s="211">
        <f t="shared" si="5"/>
        <v>0</v>
      </c>
      <c r="O68" s="41">
        <v>1000</v>
      </c>
      <c r="P68" s="119">
        <v>0.38819444444444445</v>
      </c>
      <c r="Q68" s="119">
        <v>0.3923611111111111</v>
      </c>
      <c r="R68" s="120">
        <v>0.43402777777777779</v>
      </c>
      <c r="S68" s="28"/>
    </row>
    <row r="69" spans="1:20" x14ac:dyDescent="0.3">
      <c r="A69" s="112" t="s">
        <v>176</v>
      </c>
      <c r="B69" s="209">
        <v>45736.400694444441</v>
      </c>
      <c r="C69" s="215">
        <f t="shared" si="3"/>
        <v>2182.6499999999651</v>
      </c>
      <c r="D69" s="127"/>
      <c r="E69" s="127"/>
      <c r="F69" s="127">
        <f t="shared" si="4"/>
        <v>0</v>
      </c>
      <c r="G69" s="211">
        <f t="shared" si="5"/>
        <v>0</v>
      </c>
      <c r="H69" s="43"/>
    </row>
    <row r="70" spans="1:20" x14ac:dyDescent="0.3">
      <c r="A70" s="112" t="s">
        <v>177</v>
      </c>
      <c r="B70" s="209">
        <v>45736.400694444441</v>
      </c>
      <c r="C70" s="215">
        <f t="shared" si="3"/>
        <v>2182.6499999999651</v>
      </c>
      <c r="D70" s="127"/>
      <c r="E70" s="127"/>
      <c r="F70" s="127">
        <f t="shared" si="4"/>
        <v>0</v>
      </c>
      <c r="G70" s="211">
        <f t="shared" si="5"/>
        <v>0</v>
      </c>
    </row>
    <row r="71" spans="1:20" ht="15" thickBot="1" x14ac:dyDescent="0.35">
      <c r="A71" s="112" t="s">
        <v>178</v>
      </c>
      <c r="B71" s="209">
        <v>45736.400694444441</v>
      </c>
      <c r="C71" s="215">
        <f t="shared" si="3"/>
        <v>2182.6499999999651</v>
      </c>
      <c r="D71" s="127"/>
      <c r="E71" s="127"/>
      <c r="F71" s="127">
        <f t="shared" si="4"/>
        <v>0</v>
      </c>
      <c r="G71" s="211">
        <f t="shared" si="5"/>
        <v>0</v>
      </c>
      <c r="N71" t="s">
        <v>303</v>
      </c>
    </row>
    <row r="72" spans="1:20" x14ac:dyDescent="0.3">
      <c r="A72" s="112" t="s">
        <v>179</v>
      </c>
      <c r="B72" s="209">
        <v>45736.400694444441</v>
      </c>
      <c r="C72" s="215">
        <f t="shared" si="3"/>
        <v>2182.6499999999651</v>
      </c>
      <c r="D72" s="127"/>
      <c r="E72" s="127"/>
      <c r="F72" s="127">
        <f t="shared" si="4"/>
        <v>0</v>
      </c>
      <c r="G72" s="211">
        <f t="shared" si="5"/>
        <v>0</v>
      </c>
      <c r="N72" s="29" t="s">
        <v>301</v>
      </c>
      <c r="O72" s="30" t="s">
        <v>269</v>
      </c>
      <c r="P72" s="30" t="s">
        <v>270</v>
      </c>
      <c r="Q72" s="30" t="s">
        <v>271</v>
      </c>
      <c r="R72" s="30" t="s">
        <v>272</v>
      </c>
      <c r="S72" s="30" t="s">
        <v>273</v>
      </c>
      <c r="T72" s="31" t="s">
        <v>274</v>
      </c>
    </row>
    <row r="73" spans="1:20" x14ac:dyDescent="0.3">
      <c r="A73" s="112" t="s">
        <v>180</v>
      </c>
      <c r="B73" s="209">
        <v>45736.400694444441</v>
      </c>
      <c r="C73" s="215">
        <f t="shared" si="3"/>
        <v>2182.6499999999651</v>
      </c>
      <c r="D73" s="215"/>
      <c r="E73" s="127"/>
      <c r="F73" s="127">
        <f t="shared" si="4"/>
        <v>0</v>
      </c>
      <c r="G73" s="211">
        <f t="shared" si="5"/>
        <v>0</v>
      </c>
      <c r="N73" s="32">
        <v>0</v>
      </c>
      <c r="O73">
        <v>0</v>
      </c>
      <c r="T73" s="33"/>
    </row>
    <row r="74" spans="1:20" x14ac:dyDescent="0.3">
      <c r="A74" s="112" t="s">
        <v>181</v>
      </c>
      <c r="B74" s="209">
        <v>45736.400694444441</v>
      </c>
      <c r="C74" s="215">
        <f t="shared" si="3"/>
        <v>2182.6499999999651</v>
      </c>
      <c r="D74" s="127"/>
      <c r="E74" s="127"/>
      <c r="F74" s="127">
        <f t="shared" si="4"/>
        <v>0</v>
      </c>
      <c r="G74" s="211">
        <f t="shared" si="5"/>
        <v>0</v>
      </c>
      <c r="N74" s="32">
        <v>2</v>
      </c>
      <c r="O74">
        <f>AVERAGE(Q74:U74)</f>
        <v>16.575499999999998</v>
      </c>
      <c r="P74" s="4">
        <v>27.589500000000001</v>
      </c>
      <c r="Q74">
        <v>16.117000000000001</v>
      </c>
      <c r="R74">
        <v>17.033999999999999</v>
      </c>
      <c r="T74" s="33"/>
    </row>
    <row r="75" spans="1:20" x14ac:dyDescent="0.3">
      <c r="A75" s="112" t="s">
        <v>182</v>
      </c>
      <c r="B75" s="209">
        <v>45736.400694444441</v>
      </c>
      <c r="C75" s="215">
        <f t="shared" si="3"/>
        <v>2182.6499999999651</v>
      </c>
      <c r="D75" s="127"/>
      <c r="E75" s="127"/>
      <c r="F75" s="127">
        <f t="shared" si="4"/>
        <v>0</v>
      </c>
      <c r="G75" s="211">
        <f t="shared" si="5"/>
        <v>0</v>
      </c>
      <c r="N75" s="32">
        <v>30</v>
      </c>
      <c r="O75">
        <f t="shared" ref="O75:O76" si="6">AVERAGE(P75:T75)</f>
        <v>219.62883333333332</v>
      </c>
      <c r="P75">
        <v>225.9375</v>
      </c>
      <c r="Q75">
        <v>217.73699999999999</v>
      </c>
      <c r="R75" s="8">
        <v>215.21199999999999</v>
      </c>
      <c r="T75" s="33"/>
    </row>
    <row r="76" spans="1:20" ht="15" thickBot="1" x14ac:dyDescent="0.35">
      <c r="A76" s="113" t="s">
        <v>183</v>
      </c>
      <c r="B76" s="209">
        <v>45736.400694444441</v>
      </c>
      <c r="C76" s="215">
        <f t="shared" si="3"/>
        <v>2182.6499999999651</v>
      </c>
      <c r="D76" s="114"/>
      <c r="E76" s="114"/>
      <c r="F76" s="127">
        <f t="shared" si="4"/>
        <v>0</v>
      </c>
      <c r="G76" s="214">
        <f t="shared" si="5"/>
        <v>0</v>
      </c>
      <c r="N76" s="32">
        <v>1000</v>
      </c>
      <c r="O76">
        <f t="shared" si="6"/>
        <v>7224.7938333333332</v>
      </c>
      <c r="P76">
        <v>7252.7775000000001</v>
      </c>
      <c r="Q76">
        <v>7253.78</v>
      </c>
      <c r="R76">
        <v>7167.8239999999996</v>
      </c>
      <c r="T76" s="33"/>
    </row>
    <row r="77" spans="1:20" ht="15" thickBot="1" x14ac:dyDescent="0.35">
      <c r="N77" s="32"/>
      <c r="T77" s="33"/>
    </row>
    <row r="78" spans="1:20" ht="15" thickBot="1" x14ac:dyDescent="0.35">
      <c r="N78" s="34" t="s">
        <v>302</v>
      </c>
      <c r="O78" s="35" cm="1">
        <f t="array" ref="O78:P78">LINEST(O73:O76,N73:N76,FALSE,FALSE)</f>
        <v>7.2248845536967909</v>
      </c>
      <c r="P78" s="36">
        <v>0</v>
      </c>
      <c r="Q78" s="36"/>
      <c r="R78" s="36"/>
      <c r="S78" s="36"/>
      <c r="T78" s="37"/>
    </row>
    <row r="80" spans="1:20" ht="15" thickBot="1" x14ac:dyDescent="0.35"/>
    <row r="81" spans="1:19" x14ac:dyDescent="0.3">
      <c r="N81" s="29" t="s">
        <v>276</v>
      </c>
      <c r="O81" s="39">
        <v>21.8</v>
      </c>
      <c r="P81" t="s">
        <v>316</v>
      </c>
      <c r="Q81">
        <f>O81+273.15</f>
        <v>294.95</v>
      </c>
    </row>
    <row r="82" spans="1:19" x14ac:dyDescent="0.3">
      <c r="N82" s="32" t="s">
        <v>277</v>
      </c>
      <c r="O82" s="40">
        <v>984.7</v>
      </c>
    </row>
    <row r="83" spans="1:19" ht="15" thickBot="1" x14ac:dyDescent="0.35">
      <c r="N83" s="41" t="s">
        <v>278</v>
      </c>
      <c r="O83" s="42">
        <v>46.2</v>
      </c>
    </row>
    <row r="86" spans="1:19" x14ac:dyDescent="0.3">
      <c r="C86" s="28"/>
    </row>
    <row r="87" spans="1:19" x14ac:dyDescent="0.3">
      <c r="B87" s="28"/>
      <c r="C87" s="28"/>
    </row>
    <row r="89" spans="1:19" x14ac:dyDescent="0.3">
      <c r="A89" s="27"/>
      <c r="B89" s="1"/>
      <c r="C89" s="1"/>
      <c r="D89" s="1"/>
      <c r="E89" s="1"/>
      <c r="F89" s="1"/>
    </row>
    <row r="90" spans="1:19" x14ac:dyDescent="0.3">
      <c r="A90" s="1"/>
      <c r="B90" s="1"/>
      <c r="C90" s="1"/>
      <c r="D90" s="216"/>
      <c r="E90" s="1"/>
      <c r="F90" s="1"/>
      <c r="G90" s="1"/>
      <c r="H90" s="1"/>
      <c r="I90" s="1"/>
      <c r="J90" s="1"/>
    </row>
    <row r="91" spans="1:19" x14ac:dyDescent="0.3">
      <c r="B91" s="2"/>
      <c r="C91" s="12"/>
      <c r="P91" s="28"/>
      <c r="Q91" s="28"/>
      <c r="R91" s="28"/>
      <c r="S91" s="28"/>
    </row>
    <row r="92" spans="1:19" x14ac:dyDescent="0.3">
      <c r="B92" s="2"/>
      <c r="C92" s="12"/>
      <c r="P92" s="28"/>
      <c r="Q92" s="28"/>
      <c r="R92" s="28"/>
      <c r="S92" s="28"/>
    </row>
    <row r="93" spans="1:19" x14ac:dyDescent="0.3">
      <c r="B93" s="2"/>
      <c r="C93" s="12"/>
      <c r="P93" s="28"/>
      <c r="Q93" s="28"/>
      <c r="R93" s="28"/>
      <c r="S93" s="28"/>
    </row>
    <row r="94" spans="1:19" x14ac:dyDescent="0.3">
      <c r="B94" s="2"/>
      <c r="C94" s="12"/>
    </row>
    <row r="95" spans="1:19" x14ac:dyDescent="0.3">
      <c r="B95" s="2"/>
      <c r="C95" s="12"/>
    </row>
    <row r="96" spans="1:19" x14ac:dyDescent="0.3">
      <c r="B96" s="2"/>
      <c r="C96" s="12"/>
    </row>
    <row r="97" spans="2:18" x14ac:dyDescent="0.3">
      <c r="B97" s="2"/>
      <c r="C97" s="12"/>
    </row>
    <row r="98" spans="2:18" x14ac:dyDescent="0.3">
      <c r="B98" s="2"/>
      <c r="C98" s="12"/>
    </row>
    <row r="99" spans="2:18" x14ac:dyDescent="0.3">
      <c r="B99" s="2"/>
      <c r="C99" s="12"/>
      <c r="R99" s="4"/>
    </row>
    <row r="100" spans="2:18" x14ac:dyDescent="0.3">
      <c r="B100" s="2"/>
      <c r="C100" s="12"/>
    </row>
    <row r="101" spans="2:18" x14ac:dyDescent="0.3">
      <c r="B101" s="2"/>
      <c r="C101" s="12"/>
    </row>
    <row r="102" spans="2:18" x14ac:dyDescent="0.3">
      <c r="B102" s="2"/>
      <c r="C102" s="12"/>
    </row>
    <row r="103" spans="2:18" x14ac:dyDescent="0.3">
      <c r="B103" s="2"/>
      <c r="C103" s="12"/>
      <c r="N103" s="38"/>
    </row>
    <row r="104" spans="2:18" x14ac:dyDescent="0.3">
      <c r="B104" s="2"/>
      <c r="C104" s="12"/>
    </row>
    <row r="105" spans="2:18" x14ac:dyDescent="0.3">
      <c r="B105" s="2"/>
      <c r="C105" s="12"/>
    </row>
    <row r="106" spans="2:18" x14ac:dyDescent="0.3">
      <c r="B106" s="2"/>
      <c r="C106" s="12"/>
    </row>
    <row r="107" spans="2:18" x14ac:dyDescent="0.3">
      <c r="B107" s="2"/>
      <c r="C107" s="12"/>
    </row>
    <row r="108" spans="2:18" x14ac:dyDescent="0.3">
      <c r="B108" s="2"/>
      <c r="C108" s="12"/>
      <c r="P108" s="28"/>
      <c r="Q108" s="28"/>
      <c r="R108" s="28"/>
    </row>
    <row r="109" spans="2:18" x14ac:dyDescent="0.3">
      <c r="B109" s="2"/>
      <c r="C109" s="12"/>
      <c r="P109" s="28"/>
      <c r="Q109" s="28"/>
      <c r="R109" s="28"/>
    </row>
    <row r="110" spans="2:18" x14ac:dyDescent="0.3">
      <c r="B110" s="2"/>
      <c r="C110" s="12"/>
      <c r="P110" s="28"/>
      <c r="Q110" s="28"/>
      <c r="R110" s="28"/>
    </row>
    <row r="111" spans="2:18" x14ac:dyDescent="0.3">
      <c r="B111" s="2"/>
      <c r="C111" s="12"/>
      <c r="H111" s="43"/>
    </row>
    <row r="112" spans="2:18" x14ac:dyDescent="0.3">
      <c r="B112" s="2"/>
      <c r="C112" s="12"/>
    </row>
    <row r="113" spans="2:18" x14ac:dyDescent="0.3">
      <c r="B113" s="2"/>
      <c r="C113" s="12"/>
    </row>
    <row r="114" spans="2:18" x14ac:dyDescent="0.3">
      <c r="B114" s="2"/>
      <c r="C114" s="12"/>
    </row>
    <row r="115" spans="2:18" x14ac:dyDescent="0.3">
      <c r="B115" s="2"/>
      <c r="C115" s="12"/>
      <c r="D115" s="12"/>
    </row>
    <row r="116" spans="2:18" x14ac:dyDescent="0.3">
      <c r="B116" s="2"/>
      <c r="C116" s="12"/>
    </row>
    <row r="117" spans="2:18" x14ac:dyDescent="0.3">
      <c r="B117" s="2"/>
      <c r="C117" s="12"/>
    </row>
    <row r="118" spans="2:18" x14ac:dyDescent="0.3">
      <c r="B118" s="2"/>
      <c r="C118" s="12"/>
      <c r="R118" s="4"/>
    </row>
    <row r="120" spans="2:18" x14ac:dyDescent="0.3">
      <c r="N120" s="38"/>
    </row>
    <row r="128" spans="2:18" x14ac:dyDescent="0.3">
      <c r="B128" s="2"/>
      <c r="C128" s="12"/>
    </row>
    <row r="129" spans="1:19" x14ac:dyDescent="0.3">
      <c r="B129" s="2"/>
    </row>
    <row r="131" spans="1:19" x14ac:dyDescent="0.3">
      <c r="A131" s="27"/>
      <c r="B131" s="1"/>
      <c r="C131" s="1"/>
      <c r="D131" s="1"/>
      <c r="E131" s="1"/>
      <c r="F131" s="1"/>
    </row>
    <row r="132" spans="1:19" x14ac:dyDescent="0.3">
      <c r="A132" s="1"/>
      <c r="B132" s="1"/>
      <c r="C132" s="1"/>
      <c r="D132" s="216"/>
      <c r="E132" s="1"/>
      <c r="F132" s="1"/>
      <c r="G132" s="1"/>
      <c r="H132" s="1"/>
      <c r="I132" s="1"/>
      <c r="J132" s="1"/>
      <c r="L132" s="1"/>
    </row>
    <row r="133" spans="1:19" x14ac:dyDescent="0.3">
      <c r="B133" s="2"/>
      <c r="C133" s="12"/>
      <c r="P133" s="28"/>
      <c r="Q133" s="28"/>
      <c r="R133" s="28"/>
      <c r="S133" s="28"/>
    </row>
    <row r="134" spans="1:19" x14ac:dyDescent="0.3">
      <c r="B134" s="2"/>
      <c r="C134" s="12"/>
      <c r="P134" s="28"/>
      <c r="Q134" s="28"/>
      <c r="R134" s="28"/>
      <c r="S134" s="28"/>
    </row>
    <row r="135" spans="1:19" x14ac:dyDescent="0.3">
      <c r="B135" s="2"/>
      <c r="C135" s="12"/>
      <c r="P135" s="28"/>
      <c r="Q135" s="28"/>
      <c r="R135" s="28"/>
      <c r="S135" s="28"/>
    </row>
    <row r="136" spans="1:19" x14ac:dyDescent="0.3">
      <c r="B136" s="2"/>
      <c r="C136" s="12"/>
    </row>
    <row r="137" spans="1:19" x14ac:dyDescent="0.3">
      <c r="B137" s="2"/>
      <c r="C137" s="12"/>
    </row>
    <row r="138" spans="1:19" x14ac:dyDescent="0.3">
      <c r="B138" s="2"/>
      <c r="C138" s="12"/>
    </row>
    <row r="139" spans="1:19" x14ac:dyDescent="0.3">
      <c r="B139" s="2"/>
      <c r="C139" s="12"/>
    </row>
    <row r="140" spans="1:19" x14ac:dyDescent="0.3">
      <c r="B140" s="2"/>
      <c r="C140" s="12"/>
    </row>
    <row r="141" spans="1:19" x14ac:dyDescent="0.3">
      <c r="B141" s="2"/>
      <c r="C141" s="12"/>
      <c r="P141" s="4"/>
    </row>
    <row r="142" spans="1:19" x14ac:dyDescent="0.3">
      <c r="B142" s="2"/>
      <c r="C142" s="12"/>
    </row>
    <row r="143" spans="1:19" x14ac:dyDescent="0.3">
      <c r="B143" s="2"/>
      <c r="C143" s="12"/>
    </row>
    <row r="144" spans="1:19" x14ac:dyDescent="0.3">
      <c r="B144" s="2"/>
      <c r="C144" s="12"/>
    </row>
    <row r="145" spans="2:19" x14ac:dyDescent="0.3">
      <c r="B145" s="2"/>
      <c r="C145" s="12"/>
      <c r="N145" s="38"/>
    </row>
    <row r="146" spans="2:19" x14ac:dyDescent="0.3">
      <c r="B146" s="2"/>
      <c r="C146" s="12"/>
    </row>
    <row r="147" spans="2:19" x14ac:dyDescent="0.3">
      <c r="B147" s="2"/>
      <c r="C147" s="12"/>
    </row>
    <row r="148" spans="2:19" x14ac:dyDescent="0.3">
      <c r="B148" s="2"/>
      <c r="C148" s="12"/>
    </row>
    <row r="149" spans="2:19" x14ac:dyDescent="0.3">
      <c r="B149" s="2"/>
      <c r="C149" s="12"/>
    </row>
    <row r="150" spans="2:19" x14ac:dyDescent="0.3">
      <c r="B150" s="2"/>
      <c r="C150" s="12"/>
    </row>
    <row r="151" spans="2:19" x14ac:dyDescent="0.3">
      <c r="B151" s="2"/>
      <c r="C151" s="12"/>
      <c r="P151" s="28"/>
      <c r="Q151" s="28"/>
      <c r="R151" s="28"/>
      <c r="S151" s="28"/>
    </row>
    <row r="152" spans="2:19" x14ac:dyDescent="0.3">
      <c r="B152" s="2"/>
      <c r="C152" s="12"/>
      <c r="P152" s="28"/>
      <c r="Q152" s="28"/>
      <c r="R152" s="28"/>
      <c r="S152" s="28"/>
    </row>
    <row r="153" spans="2:19" x14ac:dyDescent="0.3">
      <c r="B153" s="2"/>
      <c r="C153" s="12"/>
      <c r="H153" s="43"/>
      <c r="P153" s="28"/>
      <c r="Q153" s="28"/>
      <c r="R153" s="28"/>
      <c r="S153" s="28"/>
    </row>
    <row r="154" spans="2:19" x14ac:dyDescent="0.3">
      <c r="B154" s="2"/>
      <c r="C154" s="12"/>
    </row>
    <row r="155" spans="2:19" x14ac:dyDescent="0.3">
      <c r="B155" s="2"/>
      <c r="C155" s="12"/>
    </row>
    <row r="156" spans="2:19" x14ac:dyDescent="0.3">
      <c r="B156" s="2"/>
      <c r="C156" s="12"/>
    </row>
    <row r="157" spans="2:19" x14ac:dyDescent="0.3">
      <c r="B157" s="2"/>
      <c r="C157" s="12"/>
    </row>
    <row r="158" spans="2:19" x14ac:dyDescent="0.3">
      <c r="B158" s="2"/>
      <c r="C158" s="12"/>
    </row>
    <row r="159" spans="2:19" x14ac:dyDescent="0.3">
      <c r="B159" s="2"/>
      <c r="C159" s="12"/>
    </row>
    <row r="160" spans="2:19" x14ac:dyDescent="0.3">
      <c r="B160" s="2"/>
      <c r="C160" s="12"/>
      <c r="R160" s="4"/>
    </row>
    <row r="163" spans="14:15" x14ac:dyDescent="0.3">
      <c r="N163" s="38"/>
    </row>
    <row r="170" spans="14:15" x14ac:dyDescent="0.3">
      <c r="N170" s="32" t="s">
        <v>276</v>
      </c>
      <c r="O170" s="40">
        <v>21.8</v>
      </c>
    </row>
    <row r="171" spans="14:15" x14ac:dyDescent="0.3">
      <c r="N171" s="32" t="s">
        <v>277</v>
      </c>
      <c r="O171" s="40">
        <v>988.7</v>
      </c>
    </row>
    <row r="172" spans="14:15" ht="15" thickBot="1" x14ac:dyDescent="0.35">
      <c r="N172" s="41" t="s">
        <v>278</v>
      </c>
      <c r="O172" s="42">
        <v>44.1</v>
      </c>
    </row>
  </sheetData>
  <mergeCells count="1">
    <mergeCell ref="AC1:AU1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D31AE-4FB7-43AE-8118-1C51A752D64F}">
  <dimension ref="A1:AY76"/>
  <sheetViews>
    <sheetView zoomScaleNormal="100" workbookViewId="0">
      <selection activeCell="AQ5" sqref="AQ5"/>
    </sheetView>
  </sheetViews>
  <sheetFormatPr baseColWidth="10" defaultRowHeight="14.4" x14ac:dyDescent="0.3"/>
  <cols>
    <col min="2" max="2" width="10.33203125" bestFit="1" customWidth="1"/>
    <col min="3" max="3" width="12.33203125" bestFit="1" customWidth="1"/>
    <col min="4" max="4" width="6.21875" bestFit="1" customWidth="1"/>
    <col min="5" max="5" width="7.6640625" bestFit="1" customWidth="1"/>
    <col min="6" max="6" width="12.5546875" bestFit="1" customWidth="1"/>
    <col min="8" max="8" width="9.77734375" bestFit="1" customWidth="1"/>
    <col min="9" max="9" width="17.88671875" bestFit="1" customWidth="1"/>
    <col min="10" max="10" width="17.88671875" customWidth="1"/>
    <col min="11" max="12" width="17.88671875" style="46" customWidth="1"/>
    <col min="13" max="13" width="11.6640625" bestFit="1" customWidth="1"/>
    <col min="14" max="14" width="11.6640625" style="46" customWidth="1"/>
    <col min="15" max="18" width="13.109375" customWidth="1"/>
    <col min="20" max="20" width="15.6640625" bestFit="1" customWidth="1"/>
    <col min="21" max="21" width="10.33203125" bestFit="1" customWidth="1"/>
    <col min="22" max="22" width="12.33203125" bestFit="1" customWidth="1"/>
    <col min="23" max="23" width="6.21875" bestFit="1" customWidth="1"/>
    <col min="24" max="24" width="7.6640625" bestFit="1" customWidth="1"/>
    <col min="25" max="25" width="12.5546875" bestFit="1" customWidth="1"/>
    <col min="27" max="27" width="17.88671875" bestFit="1" customWidth="1"/>
    <col min="28" max="28" width="17.88671875" customWidth="1"/>
    <col min="29" max="29" width="17.88671875" style="46" customWidth="1"/>
    <col min="30" max="30" width="17.88671875" customWidth="1"/>
    <col min="33" max="33" width="17.88671875" bestFit="1" customWidth="1"/>
    <col min="34" max="34" width="12.77734375" bestFit="1" customWidth="1"/>
    <col min="39" max="39" width="11.5546875" style="46"/>
    <col min="42" max="42" width="12.5546875" bestFit="1" customWidth="1"/>
    <col min="43" max="43" width="15.77734375" bestFit="1" customWidth="1"/>
    <col min="44" max="46" width="15.77734375" customWidth="1"/>
  </cols>
  <sheetData>
    <row r="1" spans="1:50" ht="18" x14ac:dyDescent="0.35">
      <c r="A1" s="3" t="s">
        <v>324</v>
      </c>
    </row>
    <row r="2" spans="1:50" x14ac:dyDescent="0.3">
      <c r="A2" t="s">
        <v>335</v>
      </c>
      <c r="T2" s="2" t="s">
        <v>342</v>
      </c>
    </row>
    <row r="3" spans="1:50" x14ac:dyDescent="0.3">
      <c r="A3" t="s">
        <v>325</v>
      </c>
      <c r="T3" s="2" t="s">
        <v>435</v>
      </c>
      <c r="AS3" s="111"/>
    </row>
    <row r="4" spans="1:50" x14ac:dyDescent="0.3">
      <c r="A4" t="s">
        <v>403</v>
      </c>
      <c r="AS4" s="25"/>
    </row>
    <row r="5" spans="1:50" x14ac:dyDescent="0.3">
      <c r="A5" t="s">
        <v>432</v>
      </c>
      <c r="P5" s="25"/>
    </row>
    <row r="6" spans="1:50" x14ac:dyDescent="0.3">
      <c r="A6" t="s">
        <v>437</v>
      </c>
      <c r="AT6" s="25"/>
    </row>
    <row r="7" spans="1:50" x14ac:dyDescent="0.3">
      <c r="AR7" s="25"/>
      <c r="AT7" s="25"/>
      <c r="AX7" s="1"/>
    </row>
    <row r="8" spans="1:50" ht="16.2" thickBot="1" x14ac:dyDescent="0.35">
      <c r="A8" s="60" t="s">
        <v>339</v>
      </c>
      <c r="M8" s="127" t="s">
        <v>463</v>
      </c>
      <c r="T8" s="60" t="s">
        <v>340</v>
      </c>
      <c r="AE8" s="127" t="s">
        <v>463</v>
      </c>
      <c r="AR8" s="25"/>
    </row>
    <row r="9" spans="1:50" x14ac:dyDescent="0.3">
      <c r="A9" s="1" t="s">
        <v>2</v>
      </c>
      <c r="B9" s="1" t="s">
        <v>89</v>
      </c>
      <c r="C9" s="1" t="s">
        <v>127</v>
      </c>
      <c r="D9" s="1" t="s">
        <v>346</v>
      </c>
      <c r="E9" s="1" t="s">
        <v>436</v>
      </c>
      <c r="F9" s="1" t="s">
        <v>184</v>
      </c>
      <c r="G9" s="1" t="s">
        <v>326</v>
      </c>
      <c r="H9" s="1" t="s">
        <v>227</v>
      </c>
      <c r="I9" s="1" t="s">
        <v>341</v>
      </c>
      <c r="J9" s="1" t="s">
        <v>459</v>
      </c>
      <c r="K9" s="129" t="s">
        <v>464</v>
      </c>
      <c r="L9" s="129" t="s">
        <v>465</v>
      </c>
      <c r="M9" s="1" t="s">
        <v>458</v>
      </c>
      <c r="N9" s="129" t="s">
        <v>458</v>
      </c>
      <c r="O9" s="1" t="s">
        <v>193</v>
      </c>
      <c r="P9" s="1" t="s">
        <v>102</v>
      </c>
      <c r="Q9" s="1" t="s">
        <v>460</v>
      </c>
      <c r="R9" s="1"/>
      <c r="T9" s="1" t="s">
        <v>2</v>
      </c>
      <c r="U9" s="1" t="s">
        <v>89</v>
      </c>
      <c r="V9" s="1" t="s">
        <v>127</v>
      </c>
      <c r="W9" s="1" t="s">
        <v>346</v>
      </c>
      <c r="X9" s="1" t="s">
        <v>436</v>
      </c>
      <c r="Y9" s="1" t="s">
        <v>184</v>
      </c>
      <c r="Z9" s="1" t="s">
        <v>227</v>
      </c>
      <c r="AA9" s="1" t="s">
        <v>341</v>
      </c>
      <c r="AB9" s="1" t="s">
        <v>459</v>
      </c>
      <c r="AC9" s="129" t="s">
        <v>466</v>
      </c>
      <c r="AD9" s="1" t="s">
        <v>467</v>
      </c>
      <c r="AE9" s="1" t="s">
        <v>458</v>
      </c>
      <c r="AF9" s="1" t="s">
        <v>458</v>
      </c>
      <c r="AG9" s="1" t="s">
        <v>193</v>
      </c>
      <c r="AH9" s="1" t="s">
        <v>102</v>
      </c>
      <c r="AI9" s="1" t="s">
        <v>460</v>
      </c>
      <c r="AJ9" s="1"/>
      <c r="AK9" s="1"/>
      <c r="AL9" s="129"/>
      <c r="AM9" s="129"/>
      <c r="AO9" s="108" t="s">
        <v>2</v>
      </c>
      <c r="AP9" s="109" t="s">
        <v>184</v>
      </c>
      <c r="AQ9" s="110" t="s">
        <v>461</v>
      </c>
      <c r="AR9" s="22" t="s">
        <v>470</v>
      </c>
      <c r="AS9" s="22" t="s">
        <v>512</v>
      </c>
      <c r="AT9" s="22"/>
      <c r="AV9" s="228"/>
      <c r="AX9" s="202"/>
    </row>
    <row r="10" spans="1:50" x14ac:dyDescent="0.3">
      <c r="A10" t="s">
        <v>4</v>
      </c>
      <c r="B10" t="s">
        <v>25</v>
      </c>
      <c r="C10" t="s">
        <v>128</v>
      </c>
      <c r="D10" t="s">
        <v>347</v>
      </c>
      <c r="E10">
        <v>29</v>
      </c>
      <c r="F10" t="s">
        <v>185</v>
      </c>
      <c r="G10">
        <v>71</v>
      </c>
      <c r="H10">
        <v>5.2690000000000001</v>
      </c>
      <c r="I10">
        <v>25</v>
      </c>
      <c r="J10">
        <f>I10/1000</f>
        <v>2.5000000000000001E-2</v>
      </c>
      <c r="K10" s="81">
        <f>(H10-P10)/1000</f>
        <v>3.1764046472512429E-3</v>
      </c>
      <c r="L10" s="81">
        <f>J10+K10</f>
        <v>2.8176404647251244E-2</v>
      </c>
      <c r="M10" s="106">
        <v>3.78</v>
      </c>
      <c r="N10" s="130">
        <f>M10*20</f>
        <v>75.599999999999994</v>
      </c>
      <c r="O10" s="25">
        <v>1.5179258823636559</v>
      </c>
      <c r="P10" s="12">
        <f>H10/(1+O10)</f>
        <v>2.0925953527487571</v>
      </c>
      <c r="Q10" s="12">
        <f>((N10*L10)/P10)</f>
        <v>1.0179398461026516</v>
      </c>
      <c r="T10" t="s">
        <v>4</v>
      </c>
      <c r="U10" t="s">
        <v>25</v>
      </c>
      <c r="V10" t="s">
        <v>128</v>
      </c>
      <c r="W10" t="s">
        <v>128</v>
      </c>
      <c r="X10">
        <v>1</v>
      </c>
      <c r="Y10" t="s">
        <v>185</v>
      </c>
      <c r="Z10">
        <v>5.3209999999999997</v>
      </c>
      <c r="AA10">
        <v>25</v>
      </c>
      <c r="AB10">
        <f>AA10/1000</f>
        <v>2.5000000000000001E-2</v>
      </c>
      <c r="AC10" s="81">
        <f>(Z10-AH10)/1000</f>
        <v>3.2077527287955707E-3</v>
      </c>
      <c r="AD10" s="25">
        <f>AB10+AC10</f>
        <v>2.8207752728795572E-2</v>
      </c>
      <c r="AE10" s="106">
        <v>1.1499999999999999</v>
      </c>
      <c r="AF10" s="106">
        <f t="shared" ref="AF10:AF65" si="0">AE10*20</f>
        <v>23</v>
      </c>
      <c r="AG10" s="25">
        <v>1.5179258823636559</v>
      </c>
      <c r="AH10" s="25">
        <f>Z10/(1+AG10)</f>
        <v>2.113247271204429</v>
      </c>
      <c r="AI10" s="12">
        <f>((AF10*AD10)/AH10)</f>
        <v>0.30700539477925454</v>
      </c>
      <c r="AJ10" s="12"/>
      <c r="AK10" s="12"/>
      <c r="AL10" s="134"/>
      <c r="AM10" s="134"/>
      <c r="AO10" s="32" t="s">
        <v>4</v>
      </c>
      <c r="AP10" t="s">
        <v>185</v>
      </c>
      <c r="AQ10" s="53">
        <f>(Q10-AI10)/0.45</f>
        <v>1.5798543362742157</v>
      </c>
      <c r="AR10" s="197">
        <f>AQ10</f>
        <v>1.5798543362742157</v>
      </c>
      <c r="AS10" s="21">
        <f>AR10*1000</f>
        <v>1579.8543362742157</v>
      </c>
      <c r="AT10" s="135"/>
      <c r="AV10" s="228"/>
      <c r="AX10" s="202"/>
    </row>
    <row r="11" spans="1:50" x14ac:dyDescent="0.3">
      <c r="A11" t="s">
        <v>5</v>
      </c>
      <c r="B11" t="s">
        <v>26</v>
      </c>
      <c r="C11" t="s">
        <v>129</v>
      </c>
      <c r="D11" t="s">
        <v>348</v>
      </c>
      <c r="E11">
        <v>30</v>
      </c>
      <c r="F11" t="s">
        <v>185</v>
      </c>
      <c r="G11">
        <v>400</v>
      </c>
      <c r="H11">
        <v>5.1130000000000004</v>
      </c>
      <c r="I11">
        <v>30</v>
      </c>
      <c r="J11">
        <f t="shared" ref="J11:J65" si="1">I11/1000</f>
        <v>0.03</v>
      </c>
      <c r="K11" s="81">
        <f t="shared" ref="K11:K65" si="2">(H11-P11)/1000</f>
        <v>3.0751023298500506E-3</v>
      </c>
      <c r="L11" s="81">
        <f t="shared" ref="L11:L65" si="3">J11+K11</f>
        <v>3.3075102329850052E-2</v>
      </c>
      <c r="M11" s="106">
        <v>2.7</v>
      </c>
      <c r="N11" s="130">
        <f t="shared" ref="N11:N65" si="4">M11*20</f>
        <v>54</v>
      </c>
      <c r="O11" s="25">
        <v>1.5089581655117073</v>
      </c>
      <c r="P11" s="12">
        <f t="shared" ref="P11:P65" si="5">H11/(1+O11)</f>
        <v>2.0378976701499498</v>
      </c>
      <c r="Q11" s="12">
        <f t="shared" ref="Q11:Q65" si="6">((N11*L11)/P11)</f>
        <v>0.8764206132491843</v>
      </c>
      <c r="T11" t="s">
        <v>5</v>
      </c>
      <c r="U11" t="s">
        <v>26</v>
      </c>
      <c r="V11" t="s">
        <v>129</v>
      </c>
      <c r="W11" t="s">
        <v>129</v>
      </c>
      <c r="X11">
        <v>2</v>
      </c>
      <c r="Y11" t="s">
        <v>185</v>
      </c>
      <c r="Z11">
        <v>5.2119999999999997</v>
      </c>
      <c r="AA11" s="10">
        <v>30</v>
      </c>
      <c r="AB11">
        <f t="shared" ref="AB11:AB65" si="7">AA11/1000</f>
        <v>0.03</v>
      </c>
      <c r="AC11" s="81">
        <f t="shared" ref="AC11:AC65" si="8">(Z11-AH11)/1000</f>
        <v>3.1346437205512345E-3</v>
      </c>
      <c r="AD11" s="25">
        <f t="shared" ref="AD11:AD65" si="9">AB11+AC11</f>
        <v>3.3134643720551235E-2</v>
      </c>
      <c r="AE11" s="106">
        <v>2.0299999999999998</v>
      </c>
      <c r="AF11" s="106">
        <f t="shared" si="0"/>
        <v>40.599999999999994</v>
      </c>
      <c r="AG11" s="25">
        <v>1.5089581655117073</v>
      </c>
      <c r="AH11" s="25">
        <f t="shared" ref="AH11:AH65" si="10">Z11/(1+AG11)</f>
        <v>2.0773562794487654</v>
      </c>
      <c r="AI11" s="12">
        <f t="shared" ref="AI11:AI65" si="11">((AF11*AD11)/AH11)</f>
        <v>0.64758585148010894</v>
      </c>
      <c r="AJ11" s="12"/>
      <c r="AK11" s="12"/>
      <c r="AL11" s="134"/>
      <c r="AM11" s="134"/>
      <c r="AO11" s="32" t="s">
        <v>5</v>
      </c>
      <c r="AP11" t="s">
        <v>185</v>
      </c>
      <c r="AQ11" s="53">
        <f t="shared" ref="AQ11:AQ41" si="12">(Q11-AI11)/0.45</f>
        <v>0.50852169282016746</v>
      </c>
      <c r="AR11" s="197">
        <f t="shared" ref="AR11:AR64" si="13">AQ11</f>
        <v>0.50852169282016746</v>
      </c>
      <c r="AS11" s="21">
        <f t="shared" ref="AS11:AS65" si="14">AR11*1000</f>
        <v>508.52169282016746</v>
      </c>
      <c r="AT11" s="135"/>
      <c r="AV11" s="228"/>
      <c r="AX11" s="202"/>
    </row>
    <row r="12" spans="1:50" x14ac:dyDescent="0.3">
      <c r="A12" t="s">
        <v>6</v>
      </c>
      <c r="B12" t="s">
        <v>27</v>
      </c>
      <c r="C12" t="s">
        <v>130</v>
      </c>
      <c r="D12" t="s">
        <v>349</v>
      </c>
      <c r="E12">
        <v>31</v>
      </c>
      <c r="F12" t="s">
        <v>185</v>
      </c>
      <c r="G12">
        <v>7</v>
      </c>
      <c r="H12">
        <v>5.12</v>
      </c>
      <c r="I12">
        <v>25</v>
      </c>
      <c r="J12">
        <f t="shared" si="1"/>
        <v>2.5000000000000001E-2</v>
      </c>
      <c r="K12" s="81">
        <f t="shared" si="2"/>
        <v>3.0961640504430657E-3</v>
      </c>
      <c r="L12" s="81">
        <f t="shared" si="3"/>
        <v>2.8096164050443066E-2</v>
      </c>
      <c r="M12" s="107">
        <v>12.6</v>
      </c>
      <c r="N12" s="130">
        <f t="shared" si="4"/>
        <v>252</v>
      </c>
      <c r="O12" s="25">
        <v>1.5298493196155001</v>
      </c>
      <c r="P12" s="12">
        <f t="shared" si="5"/>
        <v>2.0238359495569345</v>
      </c>
      <c r="Q12" s="12">
        <f t="shared" si="6"/>
        <v>3.4984225585387407</v>
      </c>
      <c r="T12" t="s">
        <v>6</v>
      </c>
      <c r="U12" t="s">
        <v>27</v>
      </c>
      <c r="V12" t="s">
        <v>130</v>
      </c>
      <c r="W12" t="s">
        <v>130</v>
      </c>
      <c r="X12">
        <v>3</v>
      </c>
      <c r="Y12" t="s">
        <v>185</v>
      </c>
      <c r="Z12">
        <v>5.2290000000000001</v>
      </c>
      <c r="AA12">
        <v>25</v>
      </c>
      <c r="AB12">
        <f t="shared" si="7"/>
        <v>2.5000000000000001E-2</v>
      </c>
      <c r="AC12" s="81">
        <f t="shared" si="8"/>
        <v>3.1620784804232008E-3</v>
      </c>
      <c r="AD12" s="25">
        <f t="shared" si="9"/>
        <v>2.8162078480423201E-2</v>
      </c>
      <c r="AE12" s="107">
        <v>12.3</v>
      </c>
      <c r="AF12" s="106">
        <f t="shared" si="0"/>
        <v>246</v>
      </c>
      <c r="AG12" s="25">
        <v>1.5298493196155001</v>
      </c>
      <c r="AH12" s="25">
        <f t="shared" si="10"/>
        <v>2.0669215195767991</v>
      </c>
      <c r="AI12" s="12">
        <f t="shared" si="11"/>
        <v>3.3517824651622887</v>
      </c>
      <c r="AJ12" s="12"/>
      <c r="AK12" s="12"/>
      <c r="AL12" s="134"/>
      <c r="AM12" s="134"/>
      <c r="AO12" s="32" t="s">
        <v>6</v>
      </c>
      <c r="AP12" t="s">
        <v>185</v>
      </c>
      <c r="AQ12" s="53">
        <f t="shared" si="12"/>
        <v>0.32586687416989335</v>
      </c>
      <c r="AR12" s="197">
        <f t="shared" si="13"/>
        <v>0.32586687416989335</v>
      </c>
      <c r="AS12" s="21">
        <f t="shared" si="14"/>
        <v>325.86687416989332</v>
      </c>
      <c r="AT12" s="136"/>
      <c r="AV12" s="228"/>
      <c r="AX12" s="202"/>
    </row>
    <row r="13" spans="1:50" x14ac:dyDescent="0.3">
      <c r="A13" t="s">
        <v>7</v>
      </c>
      <c r="B13" t="s">
        <v>28</v>
      </c>
      <c r="C13" t="s">
        <v>131</v>
      </c>
      <c r="D13" t="s">
        <v>350</v>
      </c>
      <c r="E13">
        <v>32</v>
      </c>
      <c r="F13" t="s">
        <v>185</v>
      </c>
      <c r="G13" s="59" t="s">
        <v>327</v>
      </c>
      <c r="H13">
        <v>5.6040000000000001</v>
      </c>
      <c r="I13">
        <v>25</v>
      </c>
      <c r="J13">
        <f t="shared" si="1"/>
        <v>2.5000000000000001E-2</v>
      </c>
      <c r="K13" s="81">
        <f t="shared" si="2"/>
        <v>3.4197946665309488E-3</v>
      </c>
      <c r="L13" s="81">
        <f t="shared" si="3"/>
        <v>2.841979466653095E-2</v>
      </c>
      <c r="M13" s="107">
        <v>17.8</v>
      </c>
      <c r="N13" s="130">
        <f t="shared" si="4"/>
        <v>356</v>
      </c>
      <c r="O13" s="25">
        <v>1.5656928467890334</v>
      </c>
      <c r="P13" s="12">
        <f t="shared" si="5"/>
        <v>2.1842053334690514</v>
      </c>
      <c r="Q13" s="12">
        <f t="shared" si="6"/>
        <v>4.6320951360447609</v>
      </c>
      <c r="T13" t="s">
        <v>7</v>
      </c>
      <c r="U13" t="s">
        <v>28</v>
      </c>
      <c r="V13" t="s">
        <v>131</v>
      </c>
      <c r="W13" t="s">
        <v>131</v>
      </c>
      <c r="X13">
        <v>4</v>
      </c>
      <c r="Y13" t="s">
        <v>185</v>
      </c>
      <c r="Z13">
        <v>5.2549999999999999</v>
      </c>
      <c r="AA13">
        <v>25</v>
      </c>
      <c r="AB13">
        <f t="shared" si="7"/>
        <v>2.5000000000000001E-2</v>
      </c>
      <c r="AC13" s="81">
        <f t="shared" si="8"/>
        <v>3.2068203020378543E-3</v>
      </c>
      <c r="AD13" s="25">
        <f t="shared" si="9"/>
        <v>2.8206820302037857E-2</v>
      </c>
      <c r="AE13" s="107">
        <v>15.7</v>
      </c>
      <c r="AF13" s="106">
        <f t="shared" si="0"/>
        <v>314</v>
      </c>
      <c r="AG13" s="25">
        <v>1.5656928467890334</v>
      </c>
      <c r="AH13" s="25">
        <f t="shared" si="10"/>
        <v>2.0481796979621456</v>
      </c>
      <c r="AI13" s="12">
        <f t="shared" si="11"/>
        <v>4.3242990757364597</v>
      </c>
      <c r="AJ13" s="12"/>
      <c r="AK13" s="12"/>
      <c r="AL13" s="134"/>
      <c r="AM13" s="134"/>
      <c r="AO13" s="32" t="s">
        <v>7</v>
      </c>
      <c r="AP13" t="s">
        <v>185</v>
      </c>
      <c r="AQ13" s="53">
        <f>(Q13-AI13)/0.45</f>
        <v>0.68399124512955822</v>
      </c>
      <c r="AR13" s="197">
        <f>AQ13</f>
        <v>0.68399124512955822</v>
      </c>
      <c r="AS13" s="21">
        <f t="shared" si="14"/>
        <v>683.99124512955825</v>
      </c>
      <c r="AT13" s="135"/>
      <c r="AV13" s="228"/>
      <c r="AX13" s="202"/>
    </row>
    <row r="14" spans="1:50" x14ac:dyDescent="0.3">
      <c r="A14" t="s">
        <v>8</v>
      </c>
      <c r="B14" t="s">
        <v>29</v>
      </c>
      <c r="C14" t="s">
        <v>132</v>
      </c>
      <c r="D14" t="s">
        <v>351</v>
      </c>
      <c r="E14">
        <v>33</v>
      </c>
      <c r="F14" t="s">
        <v>185</v>
      </c>
      <c r="G14" s="59" t="s">
        <v>328</v>
      </c>
      <c r="H14">
        <v>5.1040000000000001</v>
      </c>
      <c r="I14">
        <v>25</v>
      </c>
      <c r="J14">
        <f t="shared" si="1"/>
        <v>2.5000000000000001E-2</v>
      </c>
      <c r="K14" s="81">
        <f t="shared" si="2"/>
        <v>3.0712121409793183E-3</v>
      </c>
      <c r="L14" s="81">
        <f t="shared" si="3"/>
        <v>2.807121214097932E-2</v>
      </c>
      <c r="M14" s="107">
        <v>16</v>
      </c>
      <c r="N14" s="130">
        <f t="shared" si="4"/>
        <v>320</v>
      </c>
      <c r="O14" s="25">
        <v>1.5108375068999622</v>
      </c>
      <c r="P14" s="12">
        <f t="shared" si="5"/>
        <v>2.0327878590206816</v>
      </c>
      <c r="Q14" s="12">
        <f t="shared" si="6"/>
        <v>4.4189499879446057</v>
      </c>
      <c r="T14" t="s">
        <v>8</v>
      </c>
      <c r="U14" t="s">
        <v>29</v>
      </c>
      <c r="V14" t="s">
        <v>132</v>
      </c>
      <c r="W14" t="s">
        <v>132</v>
      </c>
      <c r="X14">
        <v>5</v>
      </c>
      <c r="Y14" t="s">
        <v>185</v>
      </c>
      <c r="Z14">
        <v>5.327</v>
      </c>
      <c r="AA14">
        <v>25</v>
      </c>
      <c r="AB14">
        <f t="shared" si="7"/>
        <v>2.5000000000000001E-2</v>
      </c>
      <c r="AC14" s="81">
        <f t="shared" si="8"/>
        <v>3.205397154192169E-3</v>
      </c>
      <c r="AD14" s="25">
        <f t="shared" si="9"/>
        <v>2.820539715419217E-2</v>
      </c>
      <c r="AE14" s="107">
        <v>14.3</v>
      </c>
      <c r="AF14" s="106">
        <f t="shared" si="0"/>
        <v>286</v>
      </c>
      <c r="AG14" s="25">
        <v>1.5108375068999622</v>
      </c>
      <c r="AH14" s="25">
        <f t="shared" si="10"/>
        <v>2.1216028458078311</v>
      </c>
      <c r="AI14" s="12">
        <f t="shared" si="11"/>
        <v>3.8021930457146564</v>
      </c>
      <c r="AJ14" s="12"/>
      <c r="AK14" s="12"/>
      <c r="AL14" s="134"/>
      <c r="AM14" s="134"/>
      <c r="AO14" s="32" t="s">
        <v>8</v>
      </c>
      <c r="AP14" t="s">
        <v>185</v>
      </c>
      <c r="AQ14" s="53">
        <f t="shared" si="12"/>
        <v>1.3705709827332206</v>
      </c>
      <c r="AR14" s="197">
        <f t="shared" si="13"/>
        <v>1.3705709827332206</v>
      </c>
      <c r="AS14" s="21">
        <f t="shared" si="14"/>
        <v>1370.5709827332207</v>
      </c>
      <c r="AT14" s="135"/>
      <c r="AV14" s="228"/>
      <c r="AX14" s="202"/>
    </row>
    <row r="15" spans="1:50" x14ac:dyDescent="0.3">
      <c r="A15" t="s">
        <v>9</v>
      </c>
      <c r="B15" t="s">
        <v>40</v>
      </c>
      <c r="C15" t="s">
        <v>133</v>
      </c>
      <c r="D15" t="s">
        <v>352</v>
      </c>
      <c r="E15">
        <v>34</v>
      </c>
      <c r="F15" t="s">
        <v>185</v>
      </c>
      <c r="G15">
        <v>17</v>
      </c>
      <c r="H15">
        <v>5.9029999999999996</v>
      </c>
      <c r="I15">
        <v>25</v>
      </c>
      <c r="J15">
        <f t="shared" si="1"/>
        <v>2.5000000000000001E-2</v>
      </c>
      <c r="K15" s="81">
        <f t="shared" si="2"/>
        <v>3.5492494929391803E-3</v>
      </c>
      <c r="L15" s="81">
        <f t="shared" si="3"/>
        <v>2.8549249492939181E-2</v>
      </c>
      <c r="M15" s="106">
        <v>4.45</v>
      </c>
      <c r="N15" s="130">
        <f t="shared" si="4"/>
        <v>89</v>
      </c>
      <c r="O15" s="25">
        <v>1.5079123646674035</v>
      </c>
      <c r="P15" s="12">
        <f t="shared" si="5"/>
        <v>2.3537505070608193</v>
      </c>
      <c r="Q15" s="12">
        <f t="shared" si="6"/>
        <v>1.0795040499192263</v>
      </c>
      <c r="T15" t="s">
        <v>9</v>
      </c>
      <c r="U15" t="s">
        <v>40</v>
      </c>
      <c r="V15" t="s">
        <v>133</v>
      </c>
      <c r="W15" t="s">
        <v>133</v>
      </c>
      <c r="X15">
        <v>6</v>
      </c>
      <c r="Y15" t="s">
        <v>185</v>
      </c>
      <c r="Z15">
        <v>5.66</v>
      </c>
      <c r="AA15">
        <v>25</v>
      </c>
      <c r="AB15">
        <f t="shared" si="7"/>
        <v>2.5000000000000001E-2</v>
      </c>
      <c r="AC15" s="81">
        <f t="shared" si="8"/>
        <v>3.4031428307700765E-3</v>
      </c>
      <c r="AD15" s="25">
        <f t="shared" si="9"/>
        <v>2.8403142830770077E-2</v>
      </c>
      <c r="AE15" s="106">
        <v>3.47</v>
      </c>
      <c r="AF15" s="106">
        <f t="shared" si="0"/>
        <v>69.400000000000006</v>
      </c>
      <c r="AG15" s="25">
        <v>1.5079123646674035</v>
      </c>
      <c r="AH15" s="25">
        <f t="shared" si="10"/>
        <v>2.2568571692299235</v>
      </c>
      <c r="AI15" s="12">
        <f t="shared" si="11"/>
        <v>0.87341730763052305</v>
      </c>
      <c r="AJ15" s="12"/>
      <c r="AK15" s="12"/>
      <c r="AL15" s="134"/>
      <c r="AM15" s="134"/>
      <c r="AO15" s="32" t="s">
        <v>9</v>
      </c>
      <c r="AP15" t="s">
        <v>185</v>
      </c>
      <c r="AQ15" s="53">
        <f t="shared" si="12"/>
        <v>0.4579705384193406</v>
      </c>
      <c r="AR15" s="197">
        <f t="shared" si="13"/>
        <v>0.4579705384193406</v>
      </c>
      <c r="AS15" s="21">
        <f t="shared" si="14"/>
        <v>457.97053841934058</v>
      </c>
      <c r="AT15" s="135"/>
      <c r="AV15" s="228"/>
      <c r="AX15" s="202"/>
    </row>
    <row r="16" spans="1:50" x14ac:dyDescent="0.3">
      <c r="A16" t="s">
        <v>10</v>
      </c>
      <c r="B16" t="s">
        <v>31</v>
      </c>
      <c r="C16" t="s">
        <v>134</v>
      </c>
      <c r="D16" t="s">
        <v>353</v>
      </c>
      <c r="E16">
        <v>35</v>
      </c>
      <c r="F16" t="s">
        <v>185</v>
      </c>
      <c r="G16">
        <v>19</v>
      </c>
      <c r="H16">
        <v>5.0519999999999996</v>
      </c>
      <c r="I16">
        <v>25</v>
      </c>
      <c r="J16">
        <f t="shared" si="1"/>
        <v>2.5000000000000001E-2</v>
      </c>
      <c r="K16" s="81">
        <f t="shared" si="2"/>
        <v>3.0302603821566873E-3</v>
      </c>
      <c r="L16" s="81">
        <f t="shared" si="3"/>
        <v>2.803026038215669E-2</v>
      </c>
      <c r="M16" s="106">
        <v>4.95</v>
      </c>
      <c r="N16" s="130">
        <f t="shared" si="4"/>
        <v>99</v>
      </c>
      <c r="O16" s="25">
        <v>1.4988381072480601</v>
      </c>
      <c r="P16" s="12">
        <f t="shared" si="5"/>
        <v>2.0217396178433122</v>
      </c>
      <c r="Q16" s="12">
        <f t="shared" si="6"/>
        <v>1.3725782258715071</v>
      </c>
      <c r="T16" t="s">
        <v>10</v>
      </c>
      <c r="U16" t="s">
        <v>31</v>
      </c>
      <c r="V16" t="s">
        <v>134</v>
      </c>
      <c r="W16" t="s">
        <v>134</v>
      </c>
      <c r="X16">
        <v>7</v>
      </c>
      <c r="Y16" t="s">
        <v>185</v>
      </c>
      <c r="Z16">
        <v>5.1870000000000003</v>
      </c>
      <c r="AA16">
        <v>25</v>
      </c>
      <c r="AB16">
        <f t="shared" si="7"/>
        <v>2.5000000000000001E-2</v>
      </c>
      <c r="AC16" s="81">
        <f t="shared" si="8"/>
        <v>3.1112352736038674E-3</v>
      </c>
      <c r="AD16" s="25">
        <f t="shared" si="9"/>
        <v>2.8111235273603867E-2</v>
      </c>
      <c r="AE16" s="106">
        <v>4.97</v>
      </c>
      <c r="AF16" s="106">
        <f t="shared" si="0"/>
        <v>99.399999999999991</v>
      </c>
      <c r="AG16" s="25">
        <v>1.4988381072480601</v>
      </c>
      <c r="AH16" s="25">
        <f t="shared" si="10"/>
        <v>2.075764726396133</v>
      </c>
      <c r="AI16" s="12">
        <f t="shared" si="11"/>
        <v>1.3461336685528473</v>
      </c>
      <c r="AJ16" s="12"/>
      <c r="AK16" s="12"/>
      <c r="AL16" s="134"/>
      <c r="AM16" s="134"/>
      <c r="AO16" s="32" t="s">
        <v>10</v>
      </c>
      <c r="AP16" t="s">
        <v>185</v>
      </c>
      <c r="AQ16" s="53">
        <f t="shared" si="12"/>
        <v>5.8765682930355112E-2</v>
      </c>
      <c r="AR16" s="197">
        <f t="shared" si="13"/>
        <v>5.8765682930355112E-2</v>
      </c>
      <c r="AS16" s="21">
        <f t="shared" si="14"/>
        <v>58.765682930355112</v>
      </c>
      <c r="AT16" s="136"/>
    </row>
    <row r="17" spans="1:51" x14ac:dyDescent="0.3">
      <c r="A17" t="s">
        <v>11</v>
      </c>
      <c r="B17" t="s">
        <v>32</v>
      </c>
      <c r="C17" t="s">
        <v>135</v>
      </c>
      <c r="D17" t="s">
        <v>354</v>
      </c>
      <c r="E17">
        <v>36</v>
      </c>
      <c r="F17" t="s">
        <v>185</v>
      </c>
      <c r="G17">
        <v>24</v>
      </c>
      <c r="H17">
        <v>5.2839999999999998</v>
      </c>
      <c r="I17">
        <v>25</v>
      </c>
      <c r="J17">
        <f t="shared" si="1"/>
        <v>2.5000000000000001E-2</v>
      </c>
      <c r="K17" s="81">
        <f t="shared" si="2"/>
        <v>3.226589106108315E-3</v>
      </c>
      <c r="L17" s="81">
        <f t="shared" si="3"/>
        <v>2.8226589106108316E-2</v>
      </c>
      <c r="M17" s="106">
        <v>5.01</v>
      </c>
      <c r="N17" s="130">
        <f t="shared" si="4"/>
        <v>100.19999999999999</v>
      </c>
      <c r="O17" s="25">
        <v>1.568276475879389</v>
      </c>
      <c r="P17" s="12">
        <f t="shared" si="5"/>
        <v>2.0574108938916846</v>
      </c>
      <c r="Q17" s="12">
        <f t="shared" si="6"/>
        <v>1.3746909947979273</v>
      </c>
      <c r="T17" t="s">
        <v>11</v>
      </c>
      <c r="U17" t="s">
        <v>32</v>
      </c>
      <c r="V17" t="s">
        <v>135</v>
      </c>
      <c r="W17" t="s">
        <v>135</v>
      </c>
      <c r="X17">
        <v>8</v>
      </c>
      <c r="Y17" t="s">
        <v>185</v>
      </c>
      <c r="Z17">
        <v>5.1050000000000004</v>
      </c>
      <c r="AA17">
        <v>25</v>
      </c>
      <c r="AB17">
        <f t="shared" si="7"/>
        <v>2.5000000000000001E-2</v>
      </c>
      <c r="AC17" s="81">
        <f t="shared" si="8"/>
        <v>3.1172856522867056E-3</v>
      </c>
      <c r="AD17" s="25">
        <f t="shared" si="9"/>
        <v>2.8117285652286706E-2</v>
      </c>
      <c r="AE17" s="106">
        <v>3.59</v>
      </c>
      <c r="AF17" s="106">
        <f t="shared" si="0"/>
        <v>71.8</v>
      </c>
      <c r="AG17" s="25">
        <v>1.568276475879389</v>
      </c>
      <c r="AH17" s="25">
        <f t="shared" si="10"/>
        <v>1.987714347713295</v>
      </c>
      <c r="AI17" s="12">
        <f t="shared" si="11"/>
        <v>1.0156495132998744</v>
      </c>
      <c r="AJ17" s="12"/>
      <c r="AK17" s="12"/>
      <c r="AL17" s="134"/>
      <c r="AM17" s="134"/>
      <c r="AO17" s="32" t="s">
        <v>11</v>
      </c>
      <c r="AP17" t="s">
        <v>185</v>
      </c>
      <c r="AQ17" s="53">
        <f t="shared" si="12"/>
        <v>0.79786995888456202</v>
      </c>
      <c r="AR17" s="197">
        <f t="shared" si="13"/>
        <v>0.79786995888456202</v>
      </c>
      <c r="AS17" s="21">
        <f t="shared" si="14"/>
        <v>797.86995888456204</v>
      </c>
      <c r="AT17" s="135"/>
    </row>
    <row r="18" spans="1:51" x14ac:dyDescent="0.3">
      <c r="A18" t="s">
        <v>12</v>
      </c>
      <c r="B18" t="s">
        <v>33</v>
      </c>
      <c r="C18" t="s">
        <v>136</v>
      </c>
      <c r="D18" t="s">
        <v>355</v>
      </c>
      <c r="E18">
        <v>37</v>
      </c>
      <c r="F18" t="s">
        <v>185</v>
      </c>
      <c r="G18">
        <v>54</v>
      </c>
      <c r="H18">
        <v>5.2460000000000004</v>
      </c>
      <c r="I18">
        <v>25</v>
      </c>
      <c r="J18">
        <f t="shared" si="1"/>
        <v>2.5000000000000001E-2</v>
      </c>
      <c r="K18" s="81">
        <f t="shared" si="2"/>
        <v>3.1725598015596426E-3</v>
      </c>
      <c r="L18" s="81">
        <f t="shared" si="3"/>
        <v>2.8172559801559645E-2</v>
      </c>
      <c r="M18" s="106">
        <v>7.1</v>
      </c>
      <c r="N18" s="130">
        <f t="shared" si="4"/>
        <v>142</v>
      </c>
      <c r="O18" s="25">
        <v>1.5300946725861893</v>
      </c>
      <c r="P18" s="12">
        <f t="shared" si="5"/>
        <v>2.0734401984403577</v>
      </c>
      <c r="Q18" s="12">
        <f t="shared" si="6"/>
        <v>1.9294038452763913</v>
      </c>
      <c r="T18" t="s">
        <v>12</v>
      </c>
      <c r="U18" t="s">
        <v>33</v>
      </c>
      <c r="V18" t="s">
        <v>136</v>
      </c>
      <c r="W18" t="s">
        <v>136</v>
      </c>
      <c r="X18">
        <v>9</v>
      </c>
      <c r="Y18" t="s">
        <v>185</v>
      </c>
      <c r="Z18">
        <v>5.2</v>
      </c>
      <c r="AA18">
        <v>25</v>
      </c>
      <c r="AB18">
        <f t="shared" si="7"/>
        <v>2.5000000000000001E-2</v>
      </c>
      <c r="AC18" s="81">
        <f t="shared" si="8"/>
        <v>3.1447409394033819E-3</v>
      </c>
      <c r="AD18" s="25">
        <f t="shared" si="9"/>
        <v>2.8144740939403383E-2</v>
      </c>
      <c r="AE18" s="106">
        <v>6.37</v>
      </c>
      <c r="AF18" s="106">
        <f t="shared" si="0"/>
        <v>127.4</v>
      </c>
      <c r="AG18" s="25">
        <v>1.5300946725861893</v>
      </c>
      <c r="AH18" s="25">
        <f t="shared" si="10"/>
        <v>2.0552590605966183</v>
      </c>
      <c r="AI18" s="12">
        <f>((AF18*AD18)/AH18)</f>
        <v>1.7446170482465215</v>
      </c>
      <c r="AJ18" s="12"/>
      <c r="AK18" s="12"/>
      <c r="AL18" s="134"/>
      <c r="AM18" s="134"/>
      <c r="AO18" s="32" t="s">
        <v>12</v>
      </c>
      <c r="AP18" t="s">
        <v>185</v>
      </c>
      <c r="AQ18" s="53">
        <f t="shared" si="12"/>
        <v>0.41063732673304393</v>
      </c>
      <c r="AR18" s="197">
        <f t="shared" si="13"/>
        <v>0.41063732673304393</v>
      </c>
      <c r="AS18" s="21">
        <f t="shared" si="14"/>
        <v>410.63732673304395</v>
      </c>
      <c r="AT18" s="135"/>
      <c r="AX18" s="25"/>
      <c r="AY18" s="25"/>
    </row>
    <row r="19" spans="1:51" x14ac:dyDescent="0.3">
      <c r="A19" t="s">
        <v>13</v>
      </c>
      <c r="B19" t="s">
        <v>34</v>
      </c>
      <c r="C19" t="s">
        <v>137</v>
      </c>
      <c r="D19" t="s">
        <v>356</v>
      </c>
      <c r="E19">
        <v>38</v>
      </c>
      <c r="F19" t="s">
        <v>185</v>
      </c>
      <c r="G19">
        <v>5</v>
      </c>
      <c r="H19">
        <v>5.1710000000000003</v>
      </c>
      <c r="I19">
        <v>25</v>
      </c>
      <c r="J19">
        <f t="shared" si="1"/>
        <v>2.5000000000000001E-2</v>
      </c>
      <c r="K19" s="81">
        <f t="shared" si="2"/>
        <v>3.1002944593059366E-3</v>
      </c>
      <c r="L19" s="81">
        <f t="shared" si="3"/>
        <v>2.8100294459305938E-2</v>
      </c>
      <c r="M19" s="106">
        <v>6.93</v>
      </c>
      <c r="N19" s="130">
        <f t="shared" si="4"/>
        <v>138.6</v>
      </c>
      <c r="O19" s="25">
        <v>1.4972164793004679</v>
      </c>
      <c r="P19" s="12">
        <f t="shared" si="5"/>
        <v>2.0707055406940635</v>
      </c>
      <c r="Q19" s="12">
        <f t="shared" si="6"/>
        <v>1.880856903852379</v>
      </c>
      <c r="T19" t="s">
        <v>13</v>
      </c>
      <c r="U19" t="s">
        <v>34</v>
      </c>
      <c r="V19" t="s">
        <v>137</v>
      </c>
      <c r="W19" t="s">
        <v>137</v>
      </c>
      <c r="X19">
        <v>10</v>
      </c>
      <c r="Y19" t="s">
        <v>185</v>
      </c>
      <c r="Z19">
        <v>5.5389999999999997</v>
      </c>
      <c r="AA19">
        <v>25</v>
      </c>
      <c r="AB19">
        <f t="shared" si="7"/>
        <v>2.5000000000000001E-2</v>
      </c>
      <c r="AC19" s="81">
        <f t="shared" si="8"/>
        <v>3.3209303829231447E-3</v>
      </c>
      <c r="AD19" s="25">
        <f t="shared" si="9"/>
        <v>2.8320930382923146E-2</v>
      </c>
      <c r="AE19" s="106">
        <v>7.03</v>
      </c>
      <c r="AF19" s="106">
        <f t="shared" si="0"/>
        <v>140.6</v>
      </c>
      <c r="AG19" s="25">
        <v>1.4972164793004679</v>
      </c>
      <c r="AH19" s="25">
        <f t="shared" si="10"/>
        <v>2.2180696170768548</v>
      </c>
      <c r="AI19" s="12">
        <f t="shared" si="11"/>
        <v>1.7952199431353659</v>
      </c>
      <c r="AJ19" s="12"/>
      <c r="AK19" s="12"/>
      <c r="AL19" s="134"/>
      <c r="AM19" s="134"/>
      <c r="AO19" s="32" t="s">
        <v>13</v>
      </c>
      <c r="AP19" t="s">
        <v>185</v>
      </c>
      <c r="AQ19" s="53">
        <f t="shared" si="12"/>
        <v>0.190304357148918</v>
      </c>
      <c r="AR19" s="197">
        <f t="shared" si="13"/>
        <v>0.190304357148918</v>
      </c>
      <c r="AS19" s="21">
        <f t="shared" si="14"/>
        <v>190.304357148918</v>
      </c>
      <c r="AT19" s="136"/>
      <c r="AY19" s="25"/>
    </row>
    <row r="20" spans="1:51" x14ac:dyDescent="0.3">
      <c r="A20" t="s">
        <v>14</v>
      </c>
      <c r="B20" t="s">
        <v>35</v>
      </c>
      <c r="C20" t="s">
        <v>138</v>
      </c>
      <c r="D20" t="s">
        <v>357</v>
      </c>
      <c r="E20">
        <v>39</v>
      </c>
      <c r="F20" t="s">
        <v>185</v>
      </c>
      <c r="G20">
        <v>33</v>
      </c>
      <c r="H20">
        <v>5.23</v>
      </c>
      <c r="I20">
        <v>30</v>
      </c>
      <c r="J20">
        <f t="shared" si="1"/>
        <v>0.03</v>
      </c>
      <c r="K20" s="81">
        <f t="shared" si="2"/>
        <v>3.1493890457647065E-3</v>
      </c>
      <c r="L20" s="81">
        <f t="shared" si="3"/>
        <v>3.3149389045764706E-2</v>
      </c>
      <c r="M20" s="106">
        <v>6.12</v>
      </c>
      <c r="N20" s="130">
        <f t="shared" si="4"/>
        <v>122.4</v>
      </c>
      <c r="O20" s="25">
        <v>1.5136847373382352</v>
      </c>
      <c r="P20" s="12">
        <f t="shared" si="5"/>
        <v>2.080610954235294</v>
      </c>
      <c r="Q20" s="12">
        <f t="shared" si="6"/>
        <v>1.9501412366123414</v>
      </c>
      <c r="T20" t="s">
        <v>14</v>
      </c>
      <c r="U20" t="s">
        <v>35</v>
      </c>
      <c r="V20" t="s">
        <v>138</v>
      </c>
      <c r="W20" t="s">
        <v>138</v>
      </c>
      <c r="X20">
        <v>11</v>
      </c>
      <c r="Y20" t="s">
        <v>185</v>
      </c>
      <c r="Z20">
        <v>5.1909999999999998</v>
      </c>
      <c r="AA20" s="10">
        <v>30</v>
      </c>
      <c r="AB20">
        <f t="shared" si="7"/>
        <v>0.03</v>
      </c>
      <c r="AC20" s="81">
        <f t="shared" si="8"/>
        <v>3.1259041178899787E-3</v>
      </c>
      <c r="AD20" s="25">
        <f t="shared" si="9"/>
        <v>3.312590411788998E-2</v>
      </c>
      <c r="AE20" s="106">
        <v>2.67</v>
      </c>
      <c r="AF20" s="106">
        <f t="shared" si="0"/>
        <v>53.4</v>
      </c>
      <c r="AG20" s="25">
        <v>1.5136847373382352</v>
      </c>
      <c r="AH20" s="25">
        <f t="shared" si="10"/>
        <v>2.0650958821100209</v>
      </c>
      <c r="AI20" s="12">
        <f t="shared" si="11"/>
        <v>0.85658167023601817</v>
      </c>
      <c r="AJ20" s="12"/>
      <c r="AK20" s="12"/>
      <c r="AL20" s="134"/>
      <c r="AM20" s="134"/>
      <c r="AO20" s="32" t="s">
        <v>14</v>
      </c>
      <c r="AP20" t="s">
        <v>185</v>
      </c>
      <c r="AQ20" s="53">
        <f t="shared" si="12"/>
        <v>2.4301323697251624</v>
      </c>
      <c r="AR20" s="197">
        <f t="shared" si="13"/>
        <v>2.4301323697251624</v>
      </c>
      <c r="AS20" s="21">
        <f t="shared" si="14"/>
        <v>2430.1323697251623</v>
      </c>
      <c r="AT20" s="135"/>
      <c r="AX20" s="25"/>
      <c r="AY20" s="25"/>
    </row>
    <row r="21" spans="1:51" x14ac:dyDescent="0.3">
      <c r="A21" t="s">
        <v>15</v>
      </c>
      <c r="B21" t="s">
        <v>36</v>
      </c>
      <c r="C21" t="s">
        <v>139</v>
      </c>
      <c r="D21" t="s">
        <v>358</v>
      </c>
      <c r="E21">
        <v>40</v>
      </c>
      <c r="F21" t="s">
        <v>185</v>
      </c>
      <c r="G21" s="59" t="s">
        <v>329</v>
      </c>
      <c r="H21">
        <v>5.1029999999999998</v>
      </c>
      <c r="I21">
        <v>25</v>
      </c>
      <c r="J21">
        <f t="shared" si="1"/>
        <v>2.5000000000000001E-2</v>
      </c>
      <c r="K21" s="81">
        <f t="shared" si="2"/>
        <v>3.0667618323779681E-3</v>
      </c>
      <c r="L21" s="81">
        <f t="shared" si="3"/>
        <v>2.8066761832377968E-2</v>
      </c>
      <c r="M21" s="106">
        <v>3.55</v>
      </c>
      <c r="N21" s="130">
        <f t="shared" si="4"/>
        <v>71</v>
      </c>
      <c r="O21" s="25">
        <v>1.5060919106331294</v>
      </c>
      <c r="P21" s="12">
        <f t="shared" si="5"/>
        <v>2.0362381676220318</v>
      </c>
      <c r="Q21" s="12">
        <f t="shared" si="6"/>
        <v>0.97863802073114359</v>
      </c>
      <c r="T21" t="s">
        <v>15</v>
      </c>
      <c r="U21" t="s">
        <v>36</v>
      </c>
      <c r="V21" t="s">
        <v>139</v>
      </c>
      <c r="W21" t="s">
        <v>139</v>
      </c>
      <c r="X21">
        <v>12</v>
      </c>
      <c r="Y21" t="s">
        <v>185</v>
      </c>
      <c r="Z21">
        <v>5.1840000000000002</v>
      </c>
      <c r="AA21" s="4">
        <v>30</v>
      </c>
      <c r="AB21">
        <f t="shared" si="7"/>
        <v>0.03</v>
      </c>
      <c r="AC21" s="81">
        <f t="shared" si="8"/>
        <v>3.1154405916220627E-3</v>
      </c>
      <c r="AD21" s="25">
        <f t="shared" si="9"/>
        <v>3.311544059162206E-2</v>
      </c>
      <c r="AE21" s="106">
        <v>2.65</v>
      </c>
      <c r="AF21" s="106">
        <f t="shared" si="0"/>
        <v>53</v>
      </c>
      <c r="AG21" s="25">
        <v>1.5060919106331294</v>
      </c>
      <c r="AH21" s="25">
        <f t="shared" si="10"/>
        <v>2.0685594083779373</v>
      </c>
      <c r="AI21" s="12">
        <f t="shared" si="11"/>
        <v>0.84847374663135577</v>
      </c>
      <c r="AJ21" s="12"/>
      <c r="AK21" s="12"/>
      <c r="AL21" s="134"/>
      <c r="AM21" s="134"/>
      <c r="AO21" s="32" t="s">
        <v>15</v>
      </c>
      <c r="AP21" t="s">
        <v>185</v>
      </c>
      <c r="AQ21" s="205">
        <f t="shared" si="12"/>
        <v>0.2892539424439729</v>
      </c>
      <c r="AR21" s="197">
        <f t="shared" si="13"/>
        <v>0.2892539424439729</v>
      </c>
      <c r="AS21" s="21">
        <f t="shared" si="14"/>
        <v>289.2539424439729</v>
      </c>
      <c r="AT21" s="135"/>
      <c r="AX21" s="25"/>
      <c r="AY21" s="25"/>
    </row>
    <row r="22" spans="1:51" x14ac:dyDescent="0.3">
      <c r="A22" t="s">
        <v>16</v>
      </c>
      <c r="B22" t="s">
        <v>37</v>
      </c>
      <c r="C22" t="s">
        <v>140</v>
      </c>
      <c r="D22" t="s">
        <v>359</v>
      </c>
      <c r="E22">
        <v>41</v>
      </c>
      <c r="F22" t="s">
        <v>185</v>
      </c>
      <c r="G22">
        <v>3</v>
      </c>
      <c r="H22">
        <v>5.0810000000000004</v>
      </c>
      <c r="I22">
        <v>25</v>
      </c>
      <c r="J22">
        <f t="shared" si="1"/>
        <v>2.5000000000000001E-2</v>
      </c>
      <c r="K22" s="81">
        <f t="shared" si="2"/>
        <v>3.0667008311649319E-3</v>
      </c>
      <c r="L22" s="81">
        <f t="shared" si="3"/>
        <v>2.8066700831164932E-2</v>
      </c>
      <c r="M22" s="106">
        <v>6.24</v>
      </c>
      <c r="N22" s="130">
        <f t="shared" si="4"/>
        <v>124.80000000000001</v>
      </c>
      <c r="O22" s="25">
        <v>1.5224654205355705</v>
      </c>
      <c r="P22" s="12">
        <f t="shared" si="5"/>
        <v>2.0142991688350684</v>
      </c>
      <c r="Q22" s="12">
        <f t="shared" si="6"/>
        <v>1.7389295085471925</v>
      </c>
      <c r="T22" t="s">
        <v>16</v>
      </c>
      <c r="U22" t="s">
        <v>37</v>
      </c>
      <c r="V22" t="s">
        <v>140</v>
      </c>
      <c r="W22" t="s">
        <v>140</v>
      </c>
      <c r="X22">
        <v>13</v>
      </c>
      <c r="Y22" t="s">
        <v>185</v>
      </c>
      <c r="Z22">
        <v>5.4189999999999996</v>
      </c>
      <c r="AA22">
        <v>25</v>
      </c>
      <c r="AB22">
        <f t="shared" si="7"/>
        <v>2.5000000000000001E-2</v>
      </c>
      <c r="AC22" s="81">
        <f t="shared" si="8"/>
        <v>3.270704940775982E-3</v>
      </c>
      <c r="AD22" s="25">
        <f t="shared" si="9"/>
        <v>2.8270704940775982E-2</v>
      </c>
      <c r="AE22" s="106">
        <v>6.73</v>
      </c>
      <c r="AF22" s="106">
        <f t="shared" si="0"/>
        <v>134.60000000000002</v>
      </c>
      <c r="AG22" s="25">
        <v>1.5224654205355705</v>
      </c>
      <c r="AH22" s="25">
        <f t="shared" si="10"/>
        <v>2.1482950592240178</v>
      </c>
      <c r="AI22" s="12">
        <f t="shared" si="11"/>
        <v>1.771282240160684</v>
      </c>
      <c r="AJ22" s="12"/>
      <c r="AK22" s="12"/>
      <c r="AL22" s="134"/>
      <c r="AM22" s="134"/>
      <c r="AO22" s="112" t="s">
        <v>16</v>
      </c>
      <c r="AP22" s="127" t="s">
        <v>185</v>
      </c>
      <c r="AQ22" s="199">
        <f t="shared" si="12"/>
        <v>-7.189495914109223E-2</v>
      </c>
      <c r="AR22" s="222">
        <v>0.05</v>
      </c>
      <c r="AS22" s="21">
        <f t="shared" si="14"/>
        <v>50</v>
      </c>
      <c r="AT22" s="136"/>
    </row>
    <row r="23" spans="1:51" x14ac:dyDescent="0.3">
      <c r="A23" t="s">
        <v>17</v>
      </c>
      <c r="B23" t="s">
        <v>38</v>
      </c>
      <c r="C23" t="s">
        <v>141</v>
      </c>
      <c r="D23" t="s">
        <v>360</v>
      </c>
      <c r="E23">
        <v>42</v>
      </c>
      <c r="F23" t="s">
        <v>185</v>
      </c>
      <c r="G23">
        <v>312</v>
      </c>
      <c r="H23">
        <v>5.15</v>
      </c>
      <c r="I23">
        <v>25</v>
      </c>
      <c r="J23">
        <f t="shared" si="1"/>
        <v>2.5000000000000001E-2</v>
      </c>
      <c r="K23" s="81">
        <f t="shared" si="2"/>
        <v>3.0865309176957632E-3</v>
      </c>
      <c r="L23" s="81">
        <f t="shared" si="3"/>
        <v>2.8086530917695765E-2</v>
      </c>
      <c r="M23" s="106">
        <v>7.55</v>
      </c>
      <c r="N23" s="130">
        <f t="shared" si="4"/>
        <v>151</v>
      </c>
      <c r="O23" s="25">
        <v>1.4957970265535032</v>
      </c>
      <c r="P23" s="12">
        <f t="shared" si="5"/>
        <v>2.0634690823042372</v>
      </c>
      <c r="Q23" s="12">
        <f t="shared" si="6"/>
        <v>2.0553088025123891</v>
      </c>
      <c r="T23" t="s">
        <v>17</v>
      </c>
      <c r="U23" t="s">
        <v>38</v>
      </c>
      <c r="V23" t="s">
        <v>141</v>
      </c>
      <c r="W23" t="s">
        <v>141</v>
      </c>
      <c r="X23">
        <v>14</v>
      </c>
      <c r="Y23" t="s">
        <v>185</v>
      </c>
      <c r="Z23">
        <v>5.1310000000000002</v>
      </c>
      <c r="AA23">
        <v>25</v>
      </c>
      <c r="AB23">
        <f t="shared" si="7"/>
        <v>2.5000000000000001E-2</v>
      </c>
      <c r="AC23" s="81">
        <f t="shared" si="8"/>
        <v>3.0751437162518372E-3</v>
      </c>
      <c r="AD23" s="25">
        <f t="shared" si="9"/>
        <v>2.8075143716251839E-2</v>
      </c>
      <c r="AE23" s="106">
        <v>7.63</v>
      </c>
      <c r="AF23" s="106">
        <f t="shared" si="0"/>
        <v>152.6</v>
      </c>
      <c r="AG23" s="25">
        <v>1.4957970265535032</v>
      </c>
      <c r="AH23" s="25">
        <f t="shared" si="10"/>
        <v>2.0558562837481631</v>
      </c>
      <c r="AI23" s="12">
        <f t="shared" si="11"/>
        <v>2.0839330866499624</v>
      </c>
      <c r="AJ23" s="12"/>
      <c r="AK23" s="12"/>
      <c r="AL23" s="134"/>
      <c r="AM23" s="134"/>
      <c r="AO23" s="112" t="s">
        <v>17</v>
      </c>
      <c r="AP23" s="127" t="s">
        <v>185</v>
      </c>
      <c r="AQ23" s="199">
        <f t="shared" si="12"/>
        <v>-6.3609520305718287E-2</v>
      </c>
      <c r="AR23" s="222">
        <v>0.05</v>
      </c>
      <c r="AS23" s="21">
        <f t="shared" si="14"/>
        <v>50</v>
      </c>
      <c r="AT23" s="136"/>
    </row>
    <row r="24" spans="1:51" x14ac:dyDescent="0.3">
      <c r="A24" t="s">
        <v>23</v>
      </c>
      <c r="B24" t="s">
        <v>39</v>
      </c>
      <c r="C24" t="s">
        <v>142</v>
      </c>
      <c r="D24" t="s">
        <v>361</v>
      </c>
      <c r="E24">
        <v>43</v>
      </c>
      <c r="F24" t="s">
        <v>185</v>
      </c>
      <c r="G24">
        <v>59</v>
      </c>
      <c r="H24">
        <v>5.3339999999999996</v>
      </c>
      <c r="I24">
        <v>25</v>
      </c>
      <c r="J24">
        <f t="shared" si="1"/>
        <v>2.5000000000000001E-2</v>
      </c>
      <c r="K24" s="81">
        <f t="shared" si="2"/>
        <v>3.220786735814983E-3</v>
      </c>
      <c r="L24" s="81">
        <f t="shared" si="3"/>
        <v>2.8220786735814983E-2</v>
      </c>
      <c r="M24" s="106">
        <v>5.85</v>
      </c>
      <c r="N24" s="130">
        <f t="shared" si="4"/>
        <v>117</v>
      </c>
      <c r="O24" s="25">
        <v>1.5241181713181773</v>
      </c>
      <c r="P24" s="12">
        <f t="shared" si="5"/>
        <v>2.1132132641850165</v>
      </c>
      <c r="Q24" s="12">
        <f t="shared" si="6"/>
        <v>1.562469867121405</v>
      </c>
      <c r="T24" t="s">
        <v>23</v>
      </c>
      <c r="U24" t="s">
        <v>39</v>
      </c>
      <c r="V24" t="s">
        <v>142</v>
      </c>
      <c r="W24" t="s">
        <v>142</v>
      </c>
      <c r="X24">
        <v>15</v>
      </c>
      <c r="Y24" t="s">
        <v>185</v>
      </c>
      <c r="Z24">
        <v>5.12</v>
      </c>
      <c r="AA24">
        <v>25</v>
      </c>
      <c r="AB24">
        <f t="shared" si="7"/>
        <v>2.5000000000000001E-2</v>
      </c>
      <c r="AC24" s="81">
        <f t="shared" si="8"/>
        <v>3.0915688202798491E-3</v>
      </c>
      <c r="AD24" s="25">
        <f t="shared" si="9"/>
        <v>2.8091568820279852E-2</v>
      </c>
      <c r="AE24" s="106">
        <v>5.27</v>
      </c>
      <c r="AF24" s="106">
        <f t="shared" si="0"/>
        <v>105.39999999999999</v>
      </c>
      <c r="AG24" s="25">
        <v>1.5241181713181773</v>
      </c>
      <c r="AH24" s="25">
        <f t="shared" si="10"/>
        <v>2.0284311797201511</v>
      </c>
      <c r="AI24" s="12">
        <f t="shared" si="11"/>
        <v>1.4596755281911928</v>
      </c>
      <c r="AJ24" s="12"/>
      <c r="AK24" s="12"/>
      <c r="AL24" s="134"/>
      <c r="AM24" s="134"/>
      <c r="AO24" s="32" t="s">
        <v>23</v>
      </c>
      <c r="AP24" t="s">
        <v>185</v>
      </c>
      <c r="AQ24" s="53">
        <f t="shared" si="12"/>
        <v>0.22843186428936038</v>
      </c>
      <c r="AR24" s="197">
        <f t="shared" si="13"/>
        <v>0.22843186428936038</v>
      </c>
      <c r="AS24" s="21">
        <f t="shared" si="14"/>
        <v>228.43186428936039</v>
      </c>
      <c r="AT24" s="136"/>
    </row>
    <row r="25" spans="1:51" x14ac:dyDescent="0.3">
      <c r="A25" t="s">
        <v>18</v>
      </c>
      <c r="B25" t="s">
        <v>30</v>
      </c>
      <c r="C25" t="s">
        <v>143</v>
      </c>
      <c r="D25" t="s">
        <v>362</v>
      </c>
      <c r="E25">
        <v>44</v>
      </c>
      <c r="F25" t="s">
        <v>185</v>
      </c>
      <c r="G25" s="59" t="s">
        <v>330</v>
      </c>
      <c r="H25">
        <v>5.2350000000000003</v>
      </c>
      <c r="I25">
        <v>25</v>
      </c>
      <c r="J25">
        <f t="shared" si="1"/>
        <v>2.5000000000000001E-2</v>
      </c>
      <c r="K25" s="81">
        <f t="shared" si="2"/>
        <v>3.1416215979766008E-3</v>
      </c>
      <c r="L25" s="81">
        <f t="shared" si="3"/>
        <v>2.8141621597976601E-2</v>
      </c>
      <c r="M25" s="106">
        <v>4.5999999999999996</v>
      </c>
      <c r="N25" s="130">
        <f t="shared" si="4"/>
        <v>92</v>
      </c>
      <c r="O25" s="25">
        <v>1.5007423382891505</v>
      </c>
      <c r="P25" s="12">
        <f t="shared" si="5"/>
        <v>2.0933784020233994</v>
      </c>
      <c r="Q25" s="12">
        <f t="shared" si="6"/>
        <v>1.2367707551159246</v>
      </c>
      <c r="T25" t="s">
        <v>18</v>
      </c>
      <c r="U25" t="s">
        <v>30</v>
      </c>
      <c r="V25" t="s">
        <v>143</v>
      </c>
      <c r="W25" t="s">
        <v>143</v>
      </c>
      <c r="X25">
        <v>16</v>
      </c>
      <c r="Y25" t="s">
        <v>185</v>
      </c>
      <c r="Z25">
        <v>5.1479999999999997</v>
      </c>
      <c r="AA25">
        <v>25</v>
      </c>
      <c r="AB25">
        <f t="shared" si="7"/>
        <v>2.5000000000000001E-2</v>
      </c>
      <c r="AC25" s="81">
        <f t="shared" si="8"/>
        <v>3.0894112676950409E-3</v>
      </c>
      <c r="AD25" s="25">
        <f t="shared" si="9"/>
        <v>2.8089411267695041E-2</v>
      </c>
      <c r="AE25" s="106">
        <v>3.63</v>
      </c>
      <c r="AF25" s="106">
        <f t="shared" si="0"/>
        <v>72.599999999999994</v>
      </c>
      <c r="AG25" s="25">
        <v>1.5007423382891505</v>
      </c>
      <c r="AH25" s="25">
        <f t="shared" si="10"/>
        <v>2.0585887323049588</v>
      </c>
      <c r="AI25" s="12">
        <f t="shared" si="11"/>
        <v>0.99062587200276186</v>
      </c>
      <c r="AJ25" s="12"/>
      <c r="AK25" s="12"/>
      <c r="AL25" s="134"/>
      <c r="AM25" s="134"/>
      <c r="AO25" s="32" t="s">
        <v>18</v>
      </c>
      <c r="AP25" t="s">
        <v>185</v>
      </c>
      <c r="AQ25" s="53">
        <f t="shared" si="12"/>
        <v>0.54698862914036162</v>
      </c>
      <c r="AR25" s="197">
        <f t="shared" si="13"/>
        <v>0.54698862914036162</v>
      </c>
      <c r="AS25" s="21">
        <f t="shared" si="14"/>
        <v>546.98862914036158</v>
      </c>
      <c r="AT25" s="135"/>
      <c r="AX25" s="1"/>
    </row>
    <row r="26" spans="1:51" x14ac:dyDescent="0.3">
      <c r="A26" t="s">
        <v>19</v>
      </c>
      <c r="B26" t="s">
        <v>41</v>
      </c>
      <c r="C26" t="s">
        <v>144</v>
      </c>
      <c r="D26" t="s">
        <v>363</v>
      </c>
      <c r="E26">
        <v>45</v>
      </c>
      <c r="F26" t="s">
        <v>185</v>
      </c>
      <c r="G26">
        <v>53</v>
      </c>
      <c r="H26">
        <v>5.165</v>
      </c>
      <c r="I26">
        <v>25</v>
      </c>
      <c r="J26">
        <f t="shared" si="1"/>
        <v>2.5000000000000001E-2</v>
      </c>
      <c r="K26" s="81">
        <f t="shared" si="2"/>
        <v>3.1175123623701623E-3</v>
      </c>
      <c r="L26" s="81">
        <f t="shared" si="3"/>
        <v>2.8117512362370162E-2</v>
      </c>
      <c r="M26" s="106">
        <v>4.47</v>
      </c>
      <c r="N26" s="130">
        <f t="shared" si="4"/>
        <v>89.399999999999991</v>
      </c>
      <c r="O26" s="25">
        <v>1.5226037535342483</v>
      </c>
      <c r="P26" s="12">
        <f t="shared" si="5"/>
        <v>2.0474876376298377</v>
      </c>
      <c r="Q26" s="12">
        <f t="shared" si="6"/>
        <v>1.2277024578794267</v>
      </c>
      <c r="T26" t="s">
        <v>19</v>
      </c>
      <c r="U26" t="s">
        <v>41</v>
      </c>
      <c r="V26" t="s">
        <v>144</v>
      </c>
      <c r="W26" t="s">
        <v>144</v>
      </c>
      <c r="X26">
        <v>17</v>
      </c>
      <c r="Y26" t="s">
        <v>185</v>
      </c>
      <c r="Z26">
        <v>5.2629999999999999</v>
      </c>
      <c r="AA26">
        <v>25</v>
      </c>
      <c r="AB26">
        <f t="shared" si="7"/>
        <v>2.5000000000000001E-2</v>
      </c>
      <c r="AC26" s="81">
        <f t="shared" si="8"/>
        <v>3.1766636133889956E-3</v>
      </c>
      <c r="AD26" s="25">
        <f t="shared" si="9"/>
        <v>2.8176663613388997E-2</v>
      </c>
      <c r="AE26" s="106">
        <v>4.62</v>
      </c>
      <c r="AF26" s="106">
        <f t="shared" si="0"/>
        <v>92.4</v>
      </c>
      <c r="AG26" s="25">
        <v>1.5226037535342483</v>
      </c>
      <c r="AH26" s="25">
        <f t="shared" si="10"/>
        <v>2.0863363866110043</v>
      </c>
      <c r="AI26" s="12">
        <f t="shared" si="11"/>
        <v>1.2478925903728526</v>
      </c>
      <c r="AJ26" s="12"/>
      <c r="AK26" s="12"/>
      <c r="AL26" s="134"/>
      <c r="AM26" s="134"/>
      <c r="AO26" s="112" t="s">
        <v>19</v>
      </c>
      <c r="AP26" s="127" t="s">
        <v>185</v>
      </c>
      <c r="AQ26" s="199">
        <f t="shared" si="12"/>
        <v>-4.4866961096502088E-2</v>
      </c>
      <c r="AR26" s="222">
        <v>0.05</v>
      </c>
      <c r="AS26" s="21">
        <f t="shared" si="14"/>
        <v>50</v>
      </c>
      <c r="AT26" s="136"/>
    </row>
    <row r="27" spans="1:51" x14ac:dyDescent="0.3">
      <c r="A27" t="s">
        <v>20</v>
      </c>
      <c r="B27" t="s">
        <v>42</v>
      </c>
      <c r="C27" t="s">
        <v>145</v>
      </c>
      <c r="D27" t="s">
        <v>364</v>
      </c>
      <c r="E27">
        <v>46</v>
      </c>
      <c r="F27" t="s">
        <v>185</v>
      </c>
      <c r="G27">
        <v>14</v>
      </c>
      <c r="H27">
        <v>5.056</v>
      </c>
      <c r="I27">
        <v>25</v>
      </c>
      <c r="J27">
        <f t="shared" si="1"/>
        <v>2.5000000000000001E-2</v>
      </c>
      <c r="K27" s="81">
        <f t="shared" si="2"/>
        <v>3.0663837673749689E-3</v>
      </c>
      <c r="L27" s="81">
        <f t="shared" si="3"/>
        <v>2.8066383767374969E-2</v>
      </c>
      <c r="M27" s="106">
        <v>2.4300000000000002</v>
      </c>
      <c r="N27" s="130">
        <f t="shared" si="4"/>
        <v>48.6</v>
      </c>
      <c r="O27" s="25">
        <v>1.5411935815025437</v>
      </c>
      <c r="P27" s="12">
        <f t="shared" si="5"/>
        <v>1.9896162326250308</v>
      </c>
      <c r="Q27" s="12">
        <f t="shared" si="6"/>
        <v>0.68557253842605348</v>
      </c>
      <c r="T27" t="s">
        <v>20</v>
      </c>
      <c r="U27" t="s">
        <v>42</v>
      </c>
      <c r="V27" t="s">
        <v>145</v>
      </c>
      <c r="W27" t="s">
        <v>145</v>
      </c>
      <c r="X27">
        <v>18</v>
      </c>
      <c r="Y27" t="s">
        <v>185</v>
      </c>
      <c r="Z27">
        <v>5.4269999999999996</v>
      </c>
      <c r="AA27">
        <v>25</v>
      </c>
      <c r="AB27">
        <f t="shared" si="7"/>
        <v>2.5000000000000001E-2</v>
      </c>
      <c r="AC27" s="81">
        <f t="shared" si="8"/>
        <v>3.2913893800522068E-3</v>
      </c>
      <c r="AD27" s="25">
        <f t="shared" si="9"/>
        <v>2.8291389380052209E-2</v>
      </c>
      <c r="AE27" s="106">
        <v>2.3199999999999998</v>
      </c>
      <c r="AF27" s="106">
        <f t="shared" si="0"/>
        <v>46.4</v>
      </c>
      <c r="AG27" s="25">
        <v>1.5411935815025437</v>
      </c>
      <c r="AH27" s="25">
        <f t="shared" si="10"/>
        <v>2.1356106199477929</v>
      </c>
      <c r="AI27" s="12">
        <f t="shared" si="11"/>
        <v>0.61468155991213091</v>
      </c>
      <c r="AJ27" s="12"/>
      <c r="AK27" s="12"/>
      <c r="AL27" s="134"/>
      <c r="AM27" s="134"/>
      <c r="AO27" s="32" t="s">
        <v>20</v>
      </c>
      <c r="AP27" t="s">
        <v>185</v>
      </c>
      <c r="AQ27" s="53">
        <f t="shared" si="12"/>
        <v>0.15753550780871681</v>
      </c>
      <c r="AR27" s="197">
        <f t="shared" si="13"/>
        <v>0.15753550780871681</v>
      </c>
      <c r="AS27" s="21">
        <f t="shared" si="14"/>
        <v>157.5355078087168</v>
      </c>
      <c r="AT27" s="136"/>
      <c r="AV27" s="228"/>
      <c r="AX27" s="25"/>
    </row>
    <row r="28" spans="1:51" x14ac:dyDescent="0.3">
      <c r="A28" t="s">
        <v>21</v>
      </c>
      <c r="B28" t="s">
        <v>43</v>
      </c>
      <c r="C28" t="s">
        <v>146</v>
      </c>
      <c r="D28" t="s">
        <v>365</v>
      </c>
      <c r="E28">
        <v>47</v>
      </c>
      <c r="F28" t="s">
        <v>185</v>
      </c>
      <c r="G28">
        <v>4</v>
      </c>
      <c r="H28">
        <v>4.8319999999999999</v>
      </c>
      <c r="I28">
        <v>30</v>
      </c>
      <c r="J28">
        <f t="shared" si="1"/>
        <v>0.03</v>
      </c>
      <c r="K28" s="81">
        <f t="shared" si="2"/>
        <v>2.9379055878813449E-3</v>
      </c>
      <c r="L28" s="81">
        <f t="shared" si="3"/>
        <v>3.2937905587881344E-2</v>
      </c>
      <c r="M28" s="106">
        <v>2.85</v>
      </c>
      <c r="N28" s="130">
        <f t="shared" si="4"/>
        <v>57</v>
      </c>
      <c r="O28" s="25">
        <v>1.5510871945370068</v>
      </c>
      <c r="P28" s="12">
        <f t="shared" si="5"/>
        <v>1.8940944121186547</v>
      </c>
      <c r="Q28" s="12">
        <f t="shared" si="6"/>
        <v>0.9912180757712008</v>
      </c>
      <c r="T28" t="s">
        <v>21</v>
      </c>
      <c r="U28" t="s">
        <v>43</v>
      </c>
      <c r="V28" t="s">
        <v>146</v>
      </c>
      <c r="W28" t="s">
        <v>146</v>
      </c>
      <c r="X28">
        <v>19</v>
      </c>
      <c r="Y28" t="s">
        <v>185</v>
      </c>
      <c r="Z28">
        <v>5.0709999999999997</v>
      </c>
      <c r="AA28" s="10">
        <v>30</v>
      </c>
      <c r="AB28">
        <f t="shared" si="7"/>
        <v>0.03</v>
      </c>
      <c r="AC28" s="81">
        <f t="shared" si="8"/>
        <v>3.0832200405931918E-3</v>
      </c>
      <c r="AD28" s="25">
        <f t="shared" si="9"/>
        <v>3.3083220040593192E-2</v>
      </c>
      <c r="AE28" s="106">
        <v>2.77</v>
      </c>
      <c r="AF28" s="106">
        <f t="shared" si="0"/>
        <v>55.4</v>
      </c>
      <c r="AG28" s="25">
        <v>1.5510871945370068</v>
      </c>
      <c r="AH28" s="25">
        <f t="shared" si="10"/>
        <v>1.9877799594068082</v>
      </c>
      <c r="AI28" s="12">
        <f t="shared" si="11"/>
        <v>0.922038871342585</v>
      </c>
      <c r="AJ28" s="12"/>
      <c r="AK28" s="12"/>
      <c r="AL28" s="134"/>
      <c r="AM28" s="134"/>
      <c r="AO28" s="32" t="s">
        <v>21</v>
      </c>
      <c r="AP28" t="s">
        <v>185</v>
      </c>
      <c r="AQ28" s="53">
        <f t="shared" si="12"/>
        <v>0.15373156539692401</v>
      </c>
      <c r="AR28" s="197">
        <f t="shared" si="13"/>
        <v>0.15373156539692401</v>
      </c>
      <c r="AS28" s="21">
        <f t="shared" si="14"/>
        <v>153.731565396924</v>
      </c>
      <c r="AT28" s="136"/>
      <c r="AV28" s="228"/>
      <c r="AX28" s="25"/>
    </row>
    <row r="29" spans="1:51" x14ac:dyDescent="0.3">
      <c r="A29" t="s">
        <v>22</v>
      </c>
      <c r="B29" t="s">
        <v>44</v>
      </c>
      <c r="C29" t="s">
        <v>147</v>
      </c>
      <c r="D29" t="s">
        <v>366</v>
      </c>
      <c r="E29">
        <v>48</v>
      </c>
      <c r="F29" t="s">
        <v>185</v>
      </c>
      <c r="G29">
        <v>64</v>
      </c>
      <c r="H29">
        <v>4.8259999999999996</v>
      </c>
      <c r="I29">
        <v>25</v>
      </c>
      <c r="J29">
        <f t="shared" si="1"/>
        <v>2.5000000000000001E-2</v>
      </c>
      <c r="K29" s="81">
        <f t="shared" si="2"/>
        <v>2.944445344930977E-3</v>
      </c>
      <c r="L29" s="81">
        <f t="shared" si="3"/>
        <v>2.7944445344930978E-2</v>
      </c>
      <c r="M29" s="106">
        <v>3.09</v>
      </c>
      <c r="N29" s="130">
        <f t="shared" si="4"/>
        <v>61.8</v>
      </c>
      <c r="O29" s="25">
        <v>1.5649002472495086</v>
      </c>
      <c r="P29" s="12">
        <f t="shared" si="5"/>
        <v>1.8815546550690225</v>
      </c>
      <c r="Q29" s="12">
        <f t="shared" si="6"/>
        <v>0.91784031766719143</v>
      </c>
      <c r="T29" t="s">
        <v>22</v>
      </c>
      <c r="U29" t="s">
        <v>44</v>
      </c>
      <c r="V29" t="s">
        <v>147</v>
      </c>
      <c r="W29" t="s">
        <v>147</v>
      </c>
      <c r="X29">
        <v>20</v>
      </c>
      <c r="Y29" t="s">
        <v>185</v>
      </c>
      <c r="Z29">
        <v>5.024</v>
      </c>
      <c r="AA29">
        <v>25</v>
      </c>
      <c r="AB29">
        <f t="shared" si="7"/>
        <v>2.5000000000000001E-2</v>
      </c>
      <c r="AC29" s="81">
        <f t="shared" si="8"/>
        <v>3.0652493603259903E-3</v>
      </c>
      <c r="AD29" s="25">
        <f t="shared" si="9"/>
        <v>2.8065249360325992E-2</v>
      </c>
      <c r="AE29" s="106">
        <v>2.96</v>
      </c>
      <c r="AF29" s="106">
        <f t="shared" si="0"/>
        <v>59.2</v>
      </c>
      <c r="AG29" s="25">
        <v>1.5649002472495086</v>
      </c>
      <c r="AH29" s="25">
        <f t="shared" si="10"/>
        <v>1.9587506396740095</v>
      </c>
      <c r="AI29" s="12">
        <f t="shared" si="11"/>
        <v>0.84822576619952617</v>
      </c>
      <c r="AJ29" s="12"/>
      <c r="AK29" s="12"/>
      <c r="AL29" s="134"/>
      <c r="AM29" s="134"/>
      <c r="AO29" s="32" t="s">
        <v>22</v>
      </c>
      <c r="AP29" t="s">
        <v>185</v>
      </c>
      <c r="AQ29" s="53">
        <f t="shared" si="12"/>
        <v>0.15469900326147837</v>
      </c>
      <c r="AR29" s="197">
        <f t="shared" si="13"/>
        <v>0.15469900326147837</v>
      </c>
      <c r="AS29" s="21">
        <f t="shared" si="14"/>
        <v>154.69900326147837</v>
      </c>
      <c r="AT29" s="136"/>
      <c r="AV29" s="228"/>
      <c r="AX29" s="25"/>
    </row>
    <row r="30" spans="1:51" x14ac:dyDescent="0.3">
      <c r="A30" t="s">
        <v>48</v>
      </c>
      <c r="B30" t="s">
        <v>69</v>
      </c>
      <c r="C30" t="s">
        <v>148</v>
      </c>
      <c r="D30" t="s">
        <v>367</v>
      </c>
      <c r="E30">
        <v>49</v>
      </c>
      <c r="F30" t="s">
        <v>185</v>
      </c>
      <c r="G30">
        <v>52</v>
      </c>
      <c r="H30">
        <v>5.15</v>
      </c>
      <c r="I30">
        <v>25</v>
      </c>
      <c r="J30">
        <f t="shared" si="1"/>
        <v>2.5000000000000001E-2</v>
      </c>
      <c r="K30" s="81">
        <f t="shared" si="2"/>
        <v>3.0963266808271264E-3</v>
      </c>
      <c r="L30" s="81">
        <f t="shared" si="3"/>
        <v>2.8096326680827129E-2</v>
      </c>
      <c r="M30" s="106">
        <v>1.94</v>
      </c>
      <c r="N30" s="130">
        <f t="shared" si="4"/>
        <v>38.799999999999997</v>
      </c>
      <c r="O30" s="25">
        <v>1.5077016640963063</v>
      </c>
      <c r="P30" s="12">
        <f t="shared" si="5"/>
        <v>2.0536733191728738</v>
      </c>
      <c r="Q30" s="12">
        <f t="shared" si="6"/>
        <v>0.53082321566857105</v>
      </c>
      <c r="T30" t="s">
        <v>48</v>
      </c>
      <c r="U30" t="s">
        <v>69</v>
      </c>
      <c r="V30" t="s">
        <v>148</v>
      </c>
      <c r="W30" t="s">
        <v>148</v>
      </c>
      <c r="X30">
        <v>21</v>
      </c>
      <c r="Y30" t="s">
        <v>185</v>
      </c>
      <c r="Z30">
        <v>5.149</v>
      </c>
      <c r="AA30">
        <v>25</v>
      </c>
      <c r="AB30">
        <f t="shared" si="7"/>
        <v>2.5000000000000001E-2</v>
      </c>
      <c r="AC30" s="81">
        <f t="shared" si="8"/>
        <v>3.0957254523454126E-3</v>
      </c>
      <c r="AD30" s="25">
        <f t="shared" si="9"/>
        <v>2.8095725452345413E-2</v>
      </c>
      <c r="AE30" s="106">
        <v>1.75</v>
      </c>
      <c r="AF30" s="106">
        <f t="shared" si="0"/>
        <v>35</v>
      </c>
      <c r="AG30" s="25">
        <v>1.5077016640963063</v>
      </c>
      <c r="AH30" s="25">
        <f t="shared" si="10"/>
        <v>2.0532745476545875</v>
      </c>
      <c r="AI30" s="12">
        <f t="shared" si="11"/>
        <v>0.47891812225274499</v>
      </c>
      <c r="AJ30" s="12"/>
      <c r="AK30" s="12"/>
      <c r="AL30" s="134"/>
      <c r="AM30" s="134"/>
      <c r="AO30" s="32" t="s">
        <v>48</v>
      </c>
      <c r="AP30" t="s">
        <v>185</v>
      </c>
      <c r="AQ30" s="53">
        <f t="shared" si="12"/>
        <v>0.115344652035169</v>
      </c>
      <c r="AR30" s="197">
        <f t="shared" si="13"/>
        <v>0.115344652035169</v>
      </c>
      <c r="AS30" s="21">
        <f t="shared" si="14"/>
        <v>115.34465203516901</v>
      </c>
      <c r="AT30" s="136"/>
      <c r="AV30" s="228"/>
      <c r="AX30" s="25"/>
    </row>
    <row r="31" spans="1:51" x14ac:dyDescent="0.3">
      <c r="A31" t="s">
        <v>49</v>
      </c>
      <c r="B31" t="s">
        <v>70</v>
      </c>
      <c r="C31" t="s">
        <v>149</v>
      </c>
      <c r="D31" t="s">
        <v>368</v>
      </c>
      <c r="E31">
        <v>50</v>
      </c>
      <c r="F31" t="s">
        <v>185</v>
      </c>
      <c r="G31">
        <v>32</v>
      </c>
      <c r="H31">
        <v>5.0199999999999996</v>
      </c>
      <c r="I31">
        <v>25</v>
      </c>
      <c r="J31">
        <f t="shared" si="1"/>
        <v>2.5000000000000001E-2</v>
      </c>
      <c r="K31" s="81">
        <f t="shared" si="2"/>
        <v>3.02423161116901E-3</v>
      </c>
      <c r="L31" s="81">
        <f t="shared" si="3"/>
        <v>2.8024231611169011E-2</v>
      </c>
      <c r="M31" s="106">
        <v>1.82</v>
      </c>
      <c r="N31" s="130">
        <f t="shared" si="4"/>
        <v>36.4</v>
      </c>
      <c r="O31" s="25">
        <v>1.5153219321909572</v>
      </c>
      <c r="P31" s="12">
        <f t="shared" si="5"/>
        <v>1.9957683888309898</v>
      </c>
      <c r="Q31" s="12">
        <f t="shared" si="6"/>
        <v>0.51112245105959375</v>
      </c>
      <c r="T31" t="s">
        <v>49</v>
      </c>
      <c r="U31" t="s">
        <v>70</v>
      </c>
      <c r="V31" t="s">
        <v>149</v>
      </c>
      <c r="W31" t="s">
        <v>149</v>
      </c>
      <c r="X31">
        <v>22</v>
      </c>
      <c r="Y31" t="s">
        <v>185</v>
      </c>
      <c r="Z31">
        <v>4.9809999999999999</v>
      </c>
      <c r="AA31">
        <v>25</v>
      </c>
      <c r="AB31">
        <f t="shared" si="7"/>
        <v>2.5000000000000001E-2</v>
      </c>
      <c r="AC31" s="81">
        <f t="shared" si="8"/>
        <v>3.0007365847077366E-3</v>
      </c>
      <c r="AD31" s="25">
        <f t="shared" si="9"/>
        <v>2.8000736584707739E-2</v>
      </c>
      <c r="AE31" s="106">
        <v>1.78</v>
      </c>
      <c r="AF31" s="106">
        <f t="shared" si="0"/>
        <v>35.6</v>
      </c>
      <c r="AG31" s="25">
        <v>1.5153219321909572</v>
      </c>
      <c r="AH31" s="25">
        <f t="shared" si="10"/>
        <v>1.9802634152922631</v>
      </c>
      <c r="AI31" s="12">
        <f t="shared" si="11"/>
        <v>0.50338061831459735</v>
      </c>
      <c r="AJ31" s="12"/>
      <c r="AK31" s="12"/>
      <c r="AL31" s="134"/>
      <c r="AM31" s="134"/>
      <c r="AO31" s="32" t="s">
        <v>49</v>
      </c>
      <c r="AP31" t="s">
        <v>185</v>
      </c>
      <c r="AQ31" s="53">
        <f t="shared" si="12"/>
        <v>1.7204072766658671E-2</v>
      </c>
      <c r="AR31" s="222">
        <v>0.05</v>
      </c>
      <c r="AS31" s="21">
        <f t="shared" si="14"/>
        <v>50</v>
      </c>
      <c r="AT31" s="136"/>
      <c r="AV31" s="228"/>
      <c r="AX31" s="25"/>
    </row>
    <row r="32" spans="1:51" x14ac:dyDescent="0.3">
      <c r="A32" t="s">
        <v>53</v>
      </c>
      <c r="B32" t="s">
        <v>74</v>
      </c>
      <c r="C32" t="s">
        <v>150</v>
      </c>
      <c r="D32" t="s">
        <v>369</v>
      </c>
      <c r="E32">
        <v>51</v>
      </c>
      <c r="F32" t="s">
        <v>185</v>
      </c>
      <c r="G32">
        <v>26</v>
      </c>
      <c r="H32">
        <v>4.9960000000000004</v>
      </c>
      <c r="I32">
        <v>25</v>
      </c>
      <c r="J32">
        <f t="shared" si="1"/>
        <v>2.5000000000000001E-2</v>
      </c>
      <c r="K32" s="81">
        <f t="shared" si="2"/>
        <v>3.0343302738086624E-3</v>
      </c>
      <c r="L32" s="81">
        <f t="shared" si="3"/>
        <v>2.8034330273808663E-2</v>
      </c>
      <c r="M32" s="106">
        <v>3.03</v>
      </c>
      <c r="N32" s="130">
        <f t="shared" si="4"/>
        <v>60.599999999999994</v>
      </c>
      <c r="O32" s="25">
        <v>1.5468099615830533</v>
      </c>
      <c r="P32" s="12">
        <f t="shared" si="5"/>
        <v>1.9616697261913381</v>
      </c>
      <c r="Q32" s="12">
        <f t="shared" si="6"/>
        <v>0.86603794303909187</v>
      </c>
      <c r="T32" t="s">
        <v>53</v>
      </c>
      <c r="U32" t="s">
        <v>74</v>
      </c>
      <c r="V32" t="s">
        <v>150</v>
      </c>
      <c r="W32" t="s">
        <v>150</v>
      </c>
      <c r="X32">
        <v>23</v>
      </c>
      <c r="Y32" t="s">
        <v>185</v>
      </c>
      <c r="Z32">
        <v>4.5839999999999996</v>
      </c>
      <c r="AA32">
        <v>25</v>
      </c>
      <c r="AB32">
        <f t="shared" si="7"/>
        <v>2.5000000000000001E-2</v>
      </c>
      <c r="AC32" s="81">
        <f t="shared" si="8"/>
        <v>2.7841012760486199E-3</v>
      </c>
      <c r="AD32" s="25">
        <f t="shared" si="9"/>
        <v>2.778410127604862E-2</v>
      </c>
      <c r="AE32" s="106">
        <v>2.69</v>
      </c>
      <c r="AF32" s="106">
        <f t="shared" si="0"/>
        <v>53.8</v>
      </c>
      <c r="AG32" s="25">
        <v>1.5468099615830533</v>
      </c>
      <c r="AH32" s="25">
        <f t="shared" si="10"/>
        <v>1.7998987239513795</v>
      </c>
      <c r="AI32" s="12">
        <f t="shared" si="11"/>
        <v>0.83048264258439131</v>
      </c>
      <c r="AJ32" s="12"/>
      <c r="AK32" s="12"/>
      <c r="AL32" s="134"/>
      <c r="AM32" s="134"/>
      <c r="AO32" s="32" t="s">
        <v>53</v>
      </c>
      <c r="AP32" t="s">
        <v>185</v>
      </c>
      <c r="AQ32" s="53">
        <f t="shared" si="12"/>
        <v>7.9011778788223477E-2</v>
      </c>
      <c r="AR32" s="197">
        <f t="shared" si="13"/>
        <v>7.9011778788223477E-2</v>
      </c>
      <c r="AS32" s="21">
        <f t="shared" si="14"/>
        <v>79.011778788223481</v>
      </c>
      <c r="AT32" s="136"/>
      <c r="AV32" s="228"/>
      <c r="AX32" s="25"/>
    </row>
    <row r="33" spans="1:51" x14ac:dyDescent="0.3">
      <c r="A33" t="s">
        <v>54</v>
      </c>
      <c r="B33" t="s">
        <v>75</v>
      </c>
      <c r="C33" t="s">
        <v>151</v>
      </c>
      <c r="D33" t="s">
        <v>370</v>
      </c>
      <c r="E33">
        <v>52</v>
      </c>
      <c r="F33" t="s">
        <v>185</v>
      </c>
      <c r="G33" s="59" t="s">
        <v>331</v>
      </c>
      <c r="H33">
        <v>5.0419999999999998</v>
      </c>
      <c r="I33">
        <v>25</v>
      </c>
      <c r="J33">
        <f t="shared" si="1"/>
        <v>2.5000000000000001E-2</v>
      </c>
      <c r="K33" s="81">
        <f t="shared" si="2"/>
        <v>3.0633151555920879E-3</v>
      </c>
      <c r="L33" s="81">
        <f t="shared" si="3"/>
        <v>2.806331515559209E-2</v>
      </c>
      <c r="M33" s="106">
        <v>2.13</v>
      </c>
      <c r="N33" s="130">
        <f t="shared" si="4"/>
        <v>42.599999999999994</v>
      </c>
      <c r="O33" s="25">
        <v>1.5481571834188348</v>
      </c>
      <c r="P33" s="12">
        <f t="shared" si="5"/>
        <v>1.9786848444079119</v>
      </c>
      <c r="Q33" s="12">
        <f t="shared" si="6"/>
        <v>0.60418779120226962</v>
      </c>
      <c r="T33" t="s">
        <v>54</v>
      </c>
      <c r="U33" t="s">
        <v>75</v>
      </c>
      <c r="V33" t="s">
        <v>151</v>
      </c>
      <c r="W33" t="s">
        <v>151</v>
      </c>
      <c r="X33">
        <v>24</v>
      </c>
      <c r="Y33" t="s">
        <v>185</v>
      </c>
      <c r="Z33">
        <v>5.0439999999999996</v>
      </c>
      <c r="AA33">
        <v>25</v>
      </c>
      <c r="AB33">
        <f t="shared" si="7"/>
        <v>2.5000000000000001E-2</v>
      </c>
      <c r="AC33" s="81">
        <f t="shared" si="8"/>
        <v>3.0645302746542028E-3</v>
      </c>
      <c r="AD33" s="25">
        <f t="shared" si="9"/>
        <v>2.8064530274654203E-2</v>
      </c>
      <c r="AE33" s="106">
        <v>1.87</v>
      </c>
      <c r="AF33" s="106">
        <f t="shared" si="0"/>
        <v>37.400000000000006</v>
      </c>
      <c r="AG33" s="25">
        <v>1.5481571834188348</v>
      </c>
      <c r="AH33" s="25">
        <f t="shared" si="10"/>
        <v>1.9794697253457967</v>
      </c>
      <c r="AI33" s="12">
        <f t="shared" si="11"/>
        <v>0.53024980318337966</v>
      </c>
      <c r="AJ33" s="12"/>
      <c r="AK33" s="12"/>
      <c r="AL33" s="134"/>
      <c r="AM33" s="134"/>
      <c r="AO33" s="32" t="s">
        <v>54</v>
      </c>
      <c r="AP33" t="s">
        <v>185</v>
      </c>
      <c r="AQ33" s="53">
        <f t="shared" si="12"/>
        <v>0.16430664004197768</v>
      </c>
      <c r="AR33" s="197">
        <f t="shared" si="13"/>
        <v>0.16430664004197768</v>
      </c>
      <c r="AS33" s="21">
        <f t="shared" si="14"/>
        <v>164.30664004197769</v>
      </c>
      <c r="AT33" s="136"/>
      <c r="AV33" s="228"/>
      <c r="AX33" s="25"/>
    </row>
    <row r="34" spans="1:51" x14ac:dyDescent="0.3">
      <c r="A34" t="s">
        <v>58</v>
      </c>
      <c r="B34" t="s">
        <v>79</v>
      </c>
      <c r="C34" t="s">
        <v>152</v>
      </c>
      <c r="D34" t="s">
        <v>371</v>
      </c>
      <c r="E34">
        <v>53</v>
      </c>
      <c r="F34" t="s">
        <v>185</v>
      </c>
      <c r="G34">
        <v>402</v>
      </c>
      <c r="H34">
        <v>5.0999999999999996</v>
      </c>
      <c r="I34">
        <v>25</v>
      </c>
      <c r="J34">
        <f t="shared" si="1"/>
        <v>2.5000000000000001E-2</v>
      </c>
      <c r="K34" s="81">
        <f t="shared" si="2"/>
        <v>3.0962241291831831E-3</v>
      </c>
      <c r="L34" s="81">
        <f t="shared" si="3"/>
        <v>2.8096224129183184E-2</v>
      </c>
      <c r="M34" s="106">
        <v>3.82</v>
      </c>
      <c r="N34" s="130">
        <f t="shared" si="4"/>
        <v>76.399999999999991</v>
      </c>
      <c r="O34" s="25">
        <v>1.5451948365467854</v>
      </c>
      <c r="P34" s="12">
        <f t="shared" si="5"/>
        <v>2.0037758708168165</v>
      </c>
      <c r="Q34" s="12">
        <f t="shared" si="6"/>
        <v>1.0712533046894999</v>
      </c>
      <c r="T34" t="s">
        <v>58</v>
      </c>
      <c r="U34" t="s">
        <v>79</v>
      </c>
      <c r="V34" t="s">
        <v>152</v>
      </c>
      <c r="W34" t="s">
        <v>152</v>
      </c>
      <c r="X34">
        <v>25</v>
      </c>
      <c r="Y34" t="s">
        <v>185</v>
      </c>
      <c r="Z34">
        <v>5.2619999999999996</v>
      </c>
      <c r="AA34">
        <v>25</v>
      </c>
      <c r="AB34">
        <f t="shared" si="7"/>
        <v>2.5000000000000001E-2</v>
      </c>
      <c r="AC34" s="81">
        <f t="shared" si="8"/>
        <v>3.194574777992531E-3</v>
      </c>
      <c r="AD34" s="25">
        <f t="shared" si="9"/>
        <v>2.8194574777992532E-2</v>
      </c>
      <c r="AE34" s="106">
        <v>3.29</v>
      </c>
      <c r="AF34" s="106">
        <f t="shared" si="0"/>
        <v>65.8</v>
      </c>
      <c r="AG34" s="25">
        <v>1.5451948365467854</v>
      </c>
      <c r="AH34" s="25">
        <f t="shared" si="10"/>
        <v>2.0674252220074685</v>
      </c>
      <c r="AI34" s="12">
        <f t="shared" si="11"/>
        <v>0.89734951506033567</v>
      </c>
      <c r="AJ34" s="12"/>
      <c r="AK34" s="12"/>
      <c r="AL34" s="134"/>
      <c r="AM34" s="134"/>
      <c r="AO34" s="32" t="s">
        <v>58</v>
      </c>
      <c r="AP34" t="s">
        <v>185</v>
      </c>
      <c r="AQ34" s="53">
        <f t="shared" si="12"/>
        <v>0.38645286584258709</v>
      </c>
      <c r="AR34" s="197">
        <f t="shared" si="13"/>
        <v>0.38645286584258709</v>
      </c>
      <c r="AS34" s="21">
        <f t="shared" si="14"/>
        <v>386.45286584258707</v>
      </c>
      <c r="AT34" s="136"/>
    </row>
    <row r="35" spans="1:51" x14ac:dyDescent="0.3">
      <c r="A35" t="s">
        <v>59</v>
      </c>
      <c r="B35" t="s">
        <v>80</v>
      </c>
      <c r="C35" t="s">
        <v>153</v>
      </c>
      <c r="D35" t="s">
        <v>372</v>
      </c>
      <c r="E35">
        <v>54</v>
      </c>
      <c r="F35" t="s">
        <v>185</v>
      </c>
      <c r="G35" s="59" t="s">
        <v>332</v>
      </c>
      <c r="H35">
        <v>4.9370000000000003</v>
      </c>
      <c r="I35">
        <v>25</v>
      </c>
      <c r="J35">
        <f t="shared" si="1"/>
        <v>2.5000000000000001E-2</v>
      </c>
      <c r="K35" s="81">
        <f t="shared" si="2"/>
        <v>3.0035431282115798E-3</v>
      </c>
      <c r="L35" s="81">
        <f t="shared" si="3"/>
        <v>2.8003543128211583E-2</v>
      </c>
      <c r="M35" s="106">
        <v>2.5</v>
      </c>
      <c r="N35" s="130">
        <f t="shared" si="4"/>
        <v>50</v>
      </c>
      <c r="O35" s="25">
        <v>1.5534575257597261</v>
      </c>
      <c r="P35" s="12">
        <f t="shared" si="5"/>
        <v>1.9334568717884204</v>
      </c>
      <c r="Q35" s="12">
        <f t="shared" si="6"/>
        <v>0.72418328892717165</v>
      </c>
      <c r="T35" t="s">
        <v>59</v>
      </c>
      <c r="U35" t="s">
        <v>80</v>
      </c>
      <c r="V35" t="s">
        <v>153</v>
      </c>
      <c r="W35" t="s">
        <v>153</v>
      </c>
      <c r="X35">
        <v>26</v>
      </c>
      <c r="Y35" t="s">
        <v>185</v>
      </c>
      <c r="Z35">
        <v>5.4240000000000004</v>
      </c>
      <c r="AA35" s="4">
        <v>30</v>
      </c>
      <c r="AB35">
        <f t="shared" si="7"/>
        <v>0.03</v>
      </c>
      <c r="AC35" s="81">
        <f t="shared" si="8"/>
        <v>3.2998213342960523E-3</v>
      </c>
      <c r="AD35" s="25">
        <f t="shared" si="9"/>
        <v>3.3299821334296049E-2</v>
      </c>
      <c r="AE35" s="106">
        <v>2.27</v>
      </c>
      <c r="AF35" s="106">
        <f t="shared" si="0"/>
        <v>45.4</v>
      </c>
      <c r="AG35" s="25">
        <v>1.5534575257597261</v>
      </c>
      <c r="AH35" s="25">
        <f t="shared" si="10"/>
        <v>2.1241786657039481</v>
      </c>
      <c r="AI35" s="12">
        <f t="shared" si="11"/>
        <v>0.71171597426623689</v>
      </c>
      <c r="AJ35" s="12"/>
      <c r="AK35" s="12"/>
      <c r="AL35" s="134"/>
      <c r="AM35" s="134"/>
      <c r="AO35" s="32" t="s">
        <v>59</v>
      </c>
      <c r="AP35" t="s">
        <v>185</v>
      </c>
      <c r="AQ35" s="133">
        <f t="shared" si="12"/>
        <v>2.770514369096613E-2</v>
      </c>
      <c r="AR35" s="222">
        <v>0.05</v>
      </c>
      <c r="AS35" s="21">
        <f t="shared" si="14"/>
        <v>50</v>
      </c>
      <c r="AT35" s="136"/>
    </row>
    <row r="36" spans="1:51" x14ac:dyDescent="0.3">
      <c r="A36" t="s">
        <v>63</v>
      </c>
      <c r="B36" t="s">
        <v>84</v>
      </c>
      <c r="C36" t="s">
        <v>154</v>
      </c>
      <c r="D36" t="s">
        <v>373</v>
      </c>
      <c r="E36">
        <v>55</v>
      </c>
      <c r="F36" t="s">
        <v>185</v>
      </c>
      <c r="G36" s="59" t="s">
        <v>333</v>
      </c>
      <c r="H36">
        <v>4.8369999999999997</v>
      </c>
      <c r="I36">
        <v>25</v>
      </c>
      <c r="J36">
        <f t="shared" si="1"/>
        <v>2.5000000000000001E-2</v>
      </c>
      <c r="K36" s="81">
        <f t="shared" si="2"/>
        <v>2.9087779253091006E-3</v>
      </c>
      <c r="L36" s="81">
        <f t="shared" si="3"/>
        <v>2.7908777925309103E-2</v>
      </c>
      <c r="M36" s="106">
        <v>3.92</v>
      </c>
      <c r="N36" s="130">
        <f t="shared" si="4"/>
        <v>78.400000000000006</v>
      </c>
      <c r="O36" s="25">
        <v>1.5085284851203604</v>
      </c>
      <c r="P36" s="12">
        <f t="shared" si="5"/>
        <v>1.9282220746908991</v>
      </c>
      <c r="Q36" s="12">
        <f t="shared" si="6"/>
        <v>1.1347490613574609</v>
      </c>
      <c r="T36" t="s">
        <v>63</v>
      </c>
      <c r="U36" t="s">
        <v>84</v>
      </c>
      <c r="V36" t="s">
        <v>154</v>
      </c>
      <c r="W36" t="s">
        <v>154</v>
      </c>
      <c r="X36">
        <v>27</v>
      </c>
      <c r="Y36" t="s">
        <v>185</v>
      </c>
      <c r="Z36">
        <v>5.1360000000000001</v>
      </c>
      <c r="AA36" s="4">
        <v>30</v>
      </c>
      <c r="AB36">
        <f t="shared" si="7"/>
        <v>0.03</v>
      </c>
      <c r="AC36" s="81">
        <f t="shared" si="8"/>
        <v>3.0885845409112139E-3</v>
      </c>
      <c r="AD36" s="25">
        <f t="shared" si="9"/>
        <v>3.3088584540911216E-2</v>
      </c>
      <c r="AE36" s="106">
        <v>3.37</v>
      </c>
      <c r="AF36" s="106">
        <f t="shared" si="0"/>
        <v>67.400000000000006</v>
      </c>
      <c r="AG36" s="25">
        <v>1.5085284851203604</v>
      </c>
      <c r="AH36" s="25">
        <f t="shared" si="10"/>
        <v>2.0474154590887861</v>
      </c>
      <c r="AI36" s="12">
        <f t="shared" si="11"/>
        <v>1.0892613847166936</v>
      </c>
      <c r="AJ36" s="12"/>
      <c r="AK36" s="12"/>
      <c r="AL36" s="134"/>
      <c r="AM36" s="134"/>
      <c r="AO36" s="32" t="s">
        <v>63</v>
      </c>
      <c r="AP36" t="s">
        <v>185</v>
      </c>
      <c r="AQ36" s="205">
        <f t="shared" si="12"/>
        <v>0.10108372586837167</v>
      </c>
      <c r="AR36" s="197">
        <f t="shared" si="13"/>
        <v>0.10108372586837167</v>
      </c>
      <c r="AS36" s="21">
        <f t="shared" si="14"/>
        <v>101.08372586837166</v>
      </c>
      <c r="AT36" s="136"/>
      <c r="AX36" s="25"/>
    </row>
    <row r="37" spans="1:51" x14ac:dyDescent="0.3">
      <c r="A37" t="s">
        <v>64</v>
      </c>
      <c r="B37" t="s">
        <v>85</v>
      </c>
      <c r="C37" t="s">
        <v>155</v>
      </c>
      <c r="D37" t="s">
        <v>374</v>
      </c>
      <c r="E37">
        <v>56</v>
      </c>
      <c r="F37" t="s">
        <v>185</v>
      </c>
      <c r="G37" s="59" t="s">
        <v>334</v>
      </c>
      <c r="H37">
        <v>4.8470000000000004</v>
      </c>
      <c r="I37">
        <v>25</v>
      </c>
      <c r="J37">
        <f t="shared" si="1"/>
        <v>2.5000000000000001E-2</v>
      </c>
      <c r="K37" s="81">
        <f t="shared" si="2"/>
        <v>2.9228042296476583E-3</v>
      </c>
      <c r="L37" s="81">
        <f t="shared" si="3"/>
        <v>2.7922804229647661E-2</v>
      </c>
      <c r="M37" s="106">
        <v>2.96</v>
      </c>
      <c r="N37" s="130">
        <f t="shared" si="4"/>
        <v>59.2</v>
      </c>
      <c r="O37" s="25">
        <v>1.5189744591905319</v>
      </c>
      <c r="P37" s="12">
        <f t="shared" si="5"/>
        <v>1.9241957703523422</v>
      </c>
      <c r="Q37" s="12">
        <f t="shared" si="6"/>
        <v>0.85907579460714278</v>
      </c>
      <c r="T37" t="s">
        <v>64</v>
      </c>
      <c r="U37" t="s">
        <v>85</v>
      </c>
      <c r="V37" t="s">
        <v>155</v>
      </c>
      <c r="W37" t="s">
        <v>155</v>
      </c>
      <c r="X37">
        <v>28</v>
      </c>
      <c r="Y37" t="s">
        <v>185</v>
      </c>
      <c r="Z37">
        <v>4.8179999999999996</v>
      </c>
      <c r="AA37" s="4">
        <v>30</v>
      </c>
      <c r="AB37">
        <f t="shared" si="7"/>
        <v>0.03</v>
      </c>
      <c r="AC37" s="81">
        <f t="shared" si="8"/>
        <v>2.9053168513394709E-3</v>
      </c>
      <c r="AD37" s="25">
        <f t="shared" si="9"/>
        <v>3.2905316851339468E-2</v>
      </c>
      <c r="AE37" s="106">
        <v>2.46</v>
      </c>
      <c r="AF37" s="106">
        <f t="shared" si="0"/>
        <v>49.2</v>
      </c>
      <c r="AG37" s="25">
        <v>1.5189744591905319</v>
      </c>
      <c r="AH37" s="25">
        <f t="shared" si="10"/>
        <v>1.9126831486605289</v>
      </c>
      <c r="AI37" s="12">
        <f t="shared" si="11"/>
        <v>0.84642434907196362</v>
      </c>
      <c r="AJ37" s="12"/>
      <c r="AK37" s="12"/>
      <c r="AL37" s="134"/>
      <c r="AM37" s="134"/>
      <c r="AO37" s="32" t="s">
        <v>64</v>
      </c>
      <c r="AP37" t="s">
        <v>185</v>
      </c>
      <c r="AQ37" s="205">
        <f t="shared" si="12"/>
        <v>2.8114323411509247E-2</v>
      </c>
      <c r="AR37" s="222">
        <v>0.05</v>
      </c>
      <c r="AS37" s="21">
        <f t="shared" si="14"/>
        <v>50</v>
      </c>
      <c r="AT37" s="136"/>
    </row>
    <row r="38" spans="1:51" x14ac:dyDescent="0.3">
      <c r="A38" t="s">
        <v>45</v>
      </c>
      <c r="B38" t="s">
        <v>66</v>
      </c>
      <c r="C38" t="s">
        <v>156</v>
      </c>
      <c r="D38" t="s">
        <v>375</v>
      </c>
      <c r="E38">
        <v>85</v>
      </c>
      <c r="F38" t="s">
        <v>186</v>
      </c>
      <c r="G38">
        <v>9</v>
      </c>
      <c r="H38">
        <v>5.2</v>
      </c>
      <c r="I38" s="8">
        <v>35</v>
      </c>
      <c r="J38">
        <f t="shared" si="1"/>
        <v>3.5000000000000003E-2</v>
      </c>
      <c r="K38" s="81">
        <f t="shared" si="2"/>
        <v>3.7307640503961991E-3</v>
      </c>
      <c r="L38" s="81">
        <f t="shared" si="3"/>
        <v>3.8730764050396202E-2</v>
      </c>
      <c r="M38" s="106">
        <v>3.81</v>
      </c>
      <c r="N38" s="130">
        <f t="shared" si="4"/>
        <v>76.2</v>
      </c>
      <c r="O38" s="25">
        <v>2.539254536619695</v>
      </c>
      <c r="P38" s="12">
        <f t="shared" si="5"/>
        <v>1.4692359496038014</v>
      </c>
      <c r="Q38" s="12">
        <f t="shared" si="6"/>
        <v>2.0087203974528687</v>
      </c>
      <c r="T38" t="s">
        <v>45</v>
      </c>
      <c r="U38" t="s">
        <v>66</v>
      </c>
      <c r="V38" t="s">
        <v>156</v>
      </c>
      <c r="W38" t="s">
        <v>156</v>
      </c>
      <c r="X38">
        <v>57</v>
      </c>
      <c r="Y38" t="s">
        <v>186</v>
      </c>
      <c r="Z38">
        <v>4.9589999999999996</v>
      </c>
      <c r="AA38" s="4">
        <v>35</v>
      </c>
      <c r="AB38">
        <f t="shared" si="7"/>
        <v>3.5000000000000003E-2</v>
      </c>
      <c r="AC38" s="81">
        <f t="shared" si="8"/>
        <v>3.5578574857528362E-3</v>
      </c>
      <c r="AD38" s="25">
        <f t="shared" si="9"/>
        <v>3.8557857485752842E-2</v>
      </c>
      <c r="AE38" s="106">
        <v>2.76</v>
      </c>
      <c r="AF38" s="106">
        <f t="shared" si="0"/>
        <v>55.199999999999996</v>
      </c>
      <c r="AG38" s="25">
        <v>2.539254536619695</v>
      </c>
      <c r="AH38" s="25">
        <f t="shared" si="10"/>
        <v>1.4011425142471636</v>
      </c>
      <c r="AI38" s="12">
        <f t="shared" si="11"/>
        <v>1.5190415761220024</v>
      </c>
      <c r="AJ38" s="12"/>
      <c r="AK38" s="12"/>
      <c r="AL38" s="134"/>
      <c r="AM38" s="134"/>
      <c r="AO38" s="32" t="s">
        <v>45</v>
      </c>
      <c r="AP38" t="s">
        <v>186</v>
      </c>
      <c r="AQ38" s="205">
        <f t="shared" si="12"/>
        <v>1.0881751585130361</v>
      </c>
      <c r="AR38" s="197">
        <f t="shared" si="13"/>
        <v>1.0881751585130361</v>
      </c>
      <c r="AS38" s="21">
        <f t="shared" si="14"/>
        <v>1088.1751585130362</v>
      </c>
      <c r="AT38" s="135"/>
    </row>
    <row r="39" spans="1:51" x14ac:dyDescent="0.3">
      <c r="A39" t="s">
        <v>46</v>
      </c>
      <c r="B39" t="s">
        <v>67</v>
      </c>
      <c r="C39" t="s">
        <v>157</v>
      </c>
      <c r="D39" t="s">
        <v>376</v>
      </c>
      <c r="E39">
        <v>86</v>
      </c>
      <c r="F39" t="s">
        <v>186</v>
      </c>
      <c r="G39" s="59" t="s">
        <v>329</v>
      </c>
      <c r="H39">
        <v>5.0940000000000003</v>
      </c>
      <c r="I39" s="8">
        <v>25</v>
      </c>
      <c r="J39">
        <f t="shared" si="1"/>
        <v>2.5000000000000001E-2</v>
      </c>
      <c r="K39" s="81">
        <f t="shared" si="2"/>
        <v>3.0567004531664808E-3</v>
      </c>
      <c r="L39" s="81">
        <f t="shared" si="3"/>
        <v>2.805670045316648E-2</v>
      </c>
      <c r="M39" s="106">
        <v>4.6900000000000004</v>
      </c>
      <c r="N39" s="130">
        <f t="shared" si="4"/>
        <v>93.800000000000011</v>
      </c>
      <c r="O39" s="25">
        <v>1.5003686904644775</v>
      </c>
      <c r="P39" s="12">
        <f t="shared" si="5"/>
        <v>2.0372995468335193</v>
      </c>
      <c r="Q39" s="12">
        <f t="shared" si="6"/>
        <v>1.2917680694512375</v>
      </c>
      <c r="T39" t="s">
        <v>46</v>
      </c>
      <c r="U39" t="s">
        <v>67</v>
      </c>
      <c r="V39" t="s">
        <v>157</v>
      </c>
      <c r="W39" t="s">
        <v>157</v>
      </c>
      <c r="X39">
        <v>58</v>
      </c>
      <c r="Y39" t="s">
        <v>186</v>
      </c>
      <c r="Z39">
        <v>6.165</v>
      </c>
      <c r="AA39" s="8">
        <v>30</v>
      </c>
      <c r="AB39">
        <f t="shared" si="7"/>
        <v>0.03</v>
      </c>
      <c r="AC39" s="81">
        <f t="shared" si="8"/>
        <v>3.6993636226484794E-3</v>
      </c>
      <c r="AD39" s="25">
        <f t="shared" si="9"/>
        <v>3.3699363622648477E-2</v>
      </c>
      <c r="AE39" s="106">
        <v>4.75</v>
      </c>
      <c r="AF39" s="106">
        <f t="shared" si="0"/>
        <v>95</v>
      </c>
      <c r="AG39" s="25">
        <v>1.5003686904644775</v>
      </c>
      <c r="AH39" s="25">
        <f t="shared" si="10"/>
        <v>2.4656363773515206</v>
      </c>
      <c r="AI39" s="12">
        <f t="shared" si="11"/>
        <v>1.2984232279986283</v>
      </c>
      <c r="AJ39" s="12"/>
      <c r="AK39" s="12"/>
      <c r="AL39" s="134"/>
      <c r="AM39" s="134"/>
      <c r="AO39" s="112" t="s">
        <v>46</v>
      </c>
      <c r="AP39" s="127" t="s">
        <v>186</v>
      </c>
      <c r="AQ39" s="199">
        <f t="shared" si="12"/>
        <v>-1.4789241216424109E-2</v>
      </c>
      <c r="AR39" s="222">
        <v>0.05</v>
      </c>
      <c r="AS39" s="21">
        <f t="shared" si="14"/>
        <v>50</v>
      </c>
      <c r="AT39" s="136"/>
    </row>
    <row r="40" spans="1:51" x14ac:dyDescent="0.3">
      <c r="A40" t="s">
        <v>47</v>
      </c>
      <c r="B40" t="s">
        <v>68</v>
      </c>
      <c r="C40" t="s">
        <v>158</v>
      </c>
      <c r="D40" t="s">
        <v>377</v>
      </c>
      <c r="E40">
        <v>87</v>
      </c>
      <c r="F40" t="s">
        <v>186</v>
      </c>
      <c r="G40">
        <v>7</v>
      </c>
      <c r="H40">
        <v>5.077</v>
      </c>
      <c r="I40" s="8">
        <v>25</v>
      </c>
      <c r="J40">
        <f t="shared" si="1"/>
        <v>2.5000000000000001E-2</v>
      </c>
      <c r="K40" s="81">
        <f t="shared" si="2"/>
        <v>3.0643848257179015E-3</v>
      </c>
      <c r="L40" s="81">
        <f t="shared" si="3"/>
        <v>2.8064384825717902E-2</v>
      </c>
      <c r="M40" s="106">
        <v>5.94</v>
      </c>
      <c r="N40" s="130">
        <f t="shared" si="4"/>
        <v>118.80000000000001</v>
      </c>
      <c r="O40" s="25">
        <v>1.5225885528816856</v>
      </c>
      <c r="P40" s="12">
        <f t="shared" si="5"/>
        <v>2.0126151742820984</v>
      </c>
      <c r="Q40" s="12">
        <f t="shared" si="6"/>
        <v>1.656575464549275</v>
      </c>
      <c r="T40" t="s">
        <v>47</v>
      </c>
      <c r="U40" t="s">
        <v>68</v>
      </c>
      <c r="V40" t="s">
        <v>158</v>
      </c>
      <c r="W40" t="s">
        <v>158</v>
      </c>
      <c r="X40">
        <v>59</v>
      </c>
      <c r="Y40" t="s">
        <v>186</v>
      </c>
      <c r="Z40">
        <v>5.2290000000000001</v>
      </c>
      <c r="AA40" s="8">
        <v>25</v>
      </c>
      <c r="AB40">
        <f t="shared" si="7"/>
        <v>2.5000000000000001E-2</v>
      </c>
      <c r="AC40" s="81">
        <f t="shared" si="8"/>
        <v>3.1561292601297829E-3</v>
      </c>
      <c r="AD40" s="25">
        <f t="shared" si="9"/>
        <v>2.8156129260129784E-2</v>
      </c>
      <c r="AE40" s="106">
        <v>4.45</v>
      </c>
      <c r="AF40" s="106">
        <f t="shared" si="0"/>
        <v>89</v>
      </c>
      <c r="AG40" s="25">
        <v>1.5225885528816856</v>
      </c>
      <c r="AH40" s="25">
        <f t="shared" si="10"/>
        <v>2.0728707398702171</v>
      </c>
      <c r="AI40" s="12">
        <f t="shared" si="11"/>
        <v>1.2089009970339228</v>
      </c>
      <c r="AJ40" s="12"/>
      <c r="AK40" s="12"/>
      <c r="AL40" s="134"/>
      <c r="AM40" s="134"/>
      <c r="AO40" s="32" t="s">
        <v>47</v>
      </c>
      <c r="AP40" t="s">
        <v>186</v>
      </c>
      <c r="AQ40" s="53">
        <f t="shared" si="12"/>
        <v>0.99483215003411574</v>
      </c>
      <c r="AR40" s="197">
        <f t="shared" si="13"/>
        <v>0.99483215003411574</v>
      </c>
      <c r="AS40" s="21">
        <f t="shared" si="14"/>
        <v>994.83215003411578</v>
      </c>
      <c r="AT40" s="135"/>
    </row>
    <row r="41" spans="1:51" x14ac:dyDescent="0.3">
      <c r="A41" t="s">
        <v>48</v>
      </c>
      <c r="B41" t="s">
        <v>69</v>
      </c>
      <c r="C41" t="s">
        <v>159</v>
      </c>
      <c r="D41" t="s">
        <v>378</v>
      </c>
      <c r="E41">
        <v>88</v>
      </c>
      <c r="F41" t="s">
        <v>186</v>
      </c>
      <c r="G41">
        <v>4</v>
      </c>
      <c r="H41">
        <v>5.056</v>
      </c>
      <c r="I41" s="8">
        <v>25</v>
      </c>
      <c r="J41">
        <f t="shared" si="1"/>
        <v>2.5000000000000001E-2</v>
      </c>
      <c r="K41" s="81">
        <f t="shared" si="2"/>
        <v>3.0411319048405947E-3</v>
      </c>
      <c r="L41" s="81">
        <f t="shared" si="3"/>
        <v>2.8041131904840595E-2</v>
      </c>
      <c r="M41" s="106">
        <v>1.74</v>
      </c>
      <c r="N41" s="130">
        <f t="shared" si="4"/>
        <v>34.799999999999997</v>
      </c>
      <c r="O41" s="25">
        <v>1.509345406851557</v>
      </c>
      <c r="P41" s="12">
        <f t="shared" si="5"/>
        <v>2.0148680951594056</v>
      </c>
      <c r="Q41" s="12">
        <f t="shared" si="6"/>
        <v>0.48431527236588168</v>
      </c>
      <c r="T41" t="s">
        <v>48</v>
      </c>
      <c r="U41" t="s">
        <v>69</v>
      </c>
      <c r="V41" t="s">
        <v>159</v>
      </c>
      <c r="W41" t="s">
        <v>159</v>
      </c>
      <c r="X41">
        <v>60</v>
      </c>
      <c r="Y41" t="s">
        <v>186</v>
      </c>
      <c r="Z41">
        <v>6.01</v>
      </c>
      <c r="AA41" s="8">
        <v>30</v>
      </c>
      <c r="AB41">
        <f t="shared" si="7"/>
        <v>0.03</v>
      </c>
      <c r="AC41" s="81">
        <f t="shared" si="8"/>
        <v>3.6149530751764187E-3</v>
      </c>
      <c r="AD41" s="25">
        <f t="shared" si="9"/>
        <v>3.3614953075176417E-2</v>
      </c>
      <c r="AE41" s="106">
        <v>1.86</v>
      </c>
      <c r="AF41" s="106">
        <f t="shared" si="0"/>
        <v>37.200000000000003</v>
      </c>
      <c r="AG41" s="25">
        <v>1.509345406851557</v>
      </c>
      <c r="AH41" s="25">
        <f t="shared" si="10"/>
        <v>2.3950469248235811</v>
      </c>
      <c r="AI41" s="12">
        <f t="shared" si="11"/>
        <v>0.52210929207104062</v>
      </c>
      <c r="AJ41" s="12"/>
      <c r="AK41" s="12"/>
      <c r="AL41" s="134"/>
      <c r="AM41" s="134"/>
      <c r="AO41" s="112" t="s">
        <v>48</v>
      </c>
      <c r="AP41" s="127" t="s">
        <v>186</v>
      </c>
      <c r="AQ41" s="199">
        <f t="shared" si="12"/>
        <v>-8.3986710455908761E-2</v>
      </c>
      <c r="AR41" s="222">
        <v>0.05</v>
      </c>
      <c r="AS41" s="21">
        <f t="shared" si="14"/>
        <v>50</v>
      </c>
      <c r="AT41" s="136"/>
    </row>
    <row r="42" spans="1:51" x14ac:dyDescent="0.3">
      <c r="A42" t="s">
        <v>49</v>
      </c>
      <c r="B42" t="s">
        <v>70</v>
      </c>
      <c r="C42" t="s">
        <v>160</v>
      </c>
      <c r="D42" t="s">
        <v>379</v>
      </c>
      <c r="E42">
        <v>89</v>
      </c>
      <c r="F42" t="s">
        <v>186</v>
      </c>
      <c r="G42">
        <v>5</v>
      </c>
      <c r="H42">
        <v>5.109</v>
      </c>
      <c r="I42" s="8">
        <v>25</v>
      </c>
      <c r="J42">
        <f t="shared" si="1"/>
        <v>2.5000000000000001E-2</v>
      </c>
      <c r="K42" s="81">
        <f t="shared" si="2"/>
        <v>3.0794434952515102E-3</v>
      </c>
      <c r="L42" s="81">
        <f t="shared" si="3"/>
        <v>2.8079443495251512E-2</v>
      </c>
      <c r="M42" s="106">
        <v>1.79</v>
      </c>
      <c r="N42" s="130">
        <f t="shared" si="4"/>
        <v>35.799999999999997</v>
      </c>
      <c r="O42" s="25">
        <v>1.5172987241531011</v>
      </c>
      <c r="P42" s="12">
        <f t="shared" si="5"/>
        <v>2.0295565047484896</v>
      </c>
      <c r="Q42" s="12">
        <f t="shared" si="6"/>
        <v>0.49530233564725396</v>
      </c>
      <c r="T42" t="s">
        <v>49</v>
      </c>
      <c r="U42" t="s">
        <v>70</v>
      </c>
      <c r="V42" t="s">
        <v>160</v>
      </c>
      <c r="W42" t="s">
        <v>160</v>
      </c>
      <c r="X42">
        <v>61</v>
      </c>
      <c r="Y42" t="s">
        <v>186</v>
      </c>
      <c r="Z42">
        <v>5.2439999999999998</v>
      </c>
      <c r="AA42" s="8">
        <v>25</v>
      </c>
      <c r="AB42">
        <f t="shared" si="7"/>
        <v>2.5000000000000001E-2</v>
      </c>
      <c r="AC42" s="81">
        <f t="shared" si="8"/>
        <v>3.160814579976301E-3</v>
      </c>
      <c r="AD42" s="25">
        <f t="shared" si="9"/>
        <v>2.8160814579976302E-2</v>
      </c>
      <c r="AE42" s="106">
        <v>1.66</v>
      </c>
      <c r="AF42" s="106">
        <f t="shared" si="0"/>
        <v>33.199999999999996</v>
      </c>
      <c r="AG42" s="25">
        <v>1.5172987241531011</v>
      </c>
      <c r="AH42" s="25">
        <f t="shared" si="10"/>
        <v>2.0831854200236988</v>
      </c>
      <c r="AI42" s="12">
        <f t="shared" si="11"/>
        <v>0.44880260540829681</v>
      </c>
      <c r="AJ42" s="12"/>
      <c r="AK42" s="12"/>
      <c r="AL42" s="134"/>
      <c r="AM42" s="134"/>
      <c r="AO42" s="32" t="s">
        <v>49</v>
      </c>
      <c r="AP42" t="s">
        <v>186</v>
      </c>
      <c r="AQ42" s="53">
        <f t="shared" ref="AQ42:AQ65" si="15">(Q42-AI42)/0.45</f>
        <v>0.10333273386434921</v>
      </c>
      <c r="AR42" s="197">
        <f t="shared" si="13"/>
        <v>0.10333273386434921</v>
      </c>
      <c r="AS42" s="21">
        <f t="shared" si="14"/>
        <v>103.33273386434921</v>
      </c>
      <c r="AT42" s="136"/>
    </row>
    <row r="43" spans="1:51" x14ac:dyDescent="0.3">
      <c r="A43" t="s">
        <v>50</v>
      </c>
      <c r="B43" t="s">
        <v>71</v>
      </c>
      <c r="C43" t="s">
        <v>161</v>
      </c>
      <c r="D43" t="s">
        <v>380</v>
      </c>
      <c r="E43">
        <v>90</v>
      </c>
      <c r="F43" t="s">
        <v>186</v>
      </c>
      <c r="G43" s="59" t="s">
        <v>334</v>
      </c>
      <c r="H43">
        <v>5.556</v>
      </c>
      <c r="I43" s="8">
        <v>30</v>
      </c>
      <c r="J43">
        <f t="shared" si="1"/>
        <v>0.03</v>
      </c>
      <c r="K43" s="81">
        <f t="shared" si="2"/>
        <v>3.9886065317803468E-3</v>
      </c>
      <c r="L43" s="81">
        <f t="shared" si="3"/>
        <v>3.3988606531780347E-2</v>
      </c>
      <c r="M43" s="106">
        <v>3.93</v>
      </c>
      <c r="N43" s="130">
        <f t="shared" si="4"/>
        <v>78.600000000000009</v>
      </c>
      <c r="O43" s="25">
        <v>2.5447385182170397</v>
      </c>
      <c r="P43" s="12">
        <f t="shared" si="5"/>
        <v>1.5673934682196531</v>
      </c>
      <c r="Q43" s="12">
        <f t="shared" si="6"/>
        <v>1.7044249115267804</v>
      </c>
      <c r="T43" t="s">
        <v>50</v>
      </c>
      <c r="U43" t="s">
        <v>71</v>
      </c>
      <c r="V43" t="s">
        <v>161</v>
      </c>
      <c r="W43" t="s">
        <v>161</v>
      </c>
      <c r="X43">
        <v>62</v>
      </c>
      <c r="Y43" t="s">
        <v>186</v>
      </c>
      <c r="Z43">
        <v>4.9180000000000001</v>
      </c>
      <c r="AA43" s="10">
        <v>30</v>
      </c>
      <c r="AB43">
        <f t="shared" si="7"/>
        <v>0.03</v>
      </c>
      <c r="AC43" s="81">
        <f t="shared" si="8"/>
        <v>3.530591598865325E-3</v>
      </c>
      <c r="AD43" s="25">
        <f t="shared" si="9"/>
        <v>3.3530591598865324E-2</v>
      </c>
      <c r="AE43" s="106">
        <v>3.06</v>
      </c>
      <c r="AF43" s="106">
        <f t="shared" si="0"/>
        <v>61.2</v>
      </c>
      <c r="AG43" s="25">
        <v>2.5447385182170397</v>
      </c>
      <c r="AH43" s="25">
        <f t="shared" si="10"/>
        <v>1.387408401134675</v>
      </c>
      <c r="AI43" s="12">
        <f t="shared" si="11"/>
        <v>1.4790686031397069</v>
      </c>
      <c r="AJ43" s="12"/>
      <c r="AK43" s="12"/>
      <c r="AL43" s="134"/>
      <c r="AM43" s="134"/>
      <c r="AO43" s="32" t="s">
        <v>50</v>
      </c>
      <c r="AP43" t="s">
        <v>186</v>
      </c>
      <c r="AQ43" s="53">
        <f t="shared" si="15"/>
        <v>0.50079179641571903</v>
      </c>
      <c r="AR43" s="197">
        <f t="shared" si="13"/>
        <v>0.50079179641571903</v>
      </c>
      <c r="AS43" s="21">
        <f t="shared" si="14"/>
        <v>500.79179641571903</v>
      </c>
      <c r="AT43" s="135"/>
    </row>
    <row r="44" spans="1:51" x14ac:dyDescent="0.3">
      <c r="A44" t="s">
        <v>51</v>
      </c>
      <c r="B44" t="s">
        <v>72</v>
      </c>
      <c r="C44" t="s">
        <v>162</v>
      </c>
      <c r="D44" t="s">
        <v>381</v>
      </c>
      <c r="E44">
        <v>91</v>
      </c>
      <c r="F44" t="s">
        <v>186</v>
      </c>
      <c r="G44" s="59">
        <v>400</v>
      </c>
      <c r="H44">
        <v>5.1390000000000002</v>
      </c>
      <c r="I44" s="8">
        <v>25</v>
      </c>
      <c r="J44">
        <f t="shared" si="1"/>
        <v>2.5000000000000001E-2</v>
      </c>
      <c r="K44" s="81">
        <f t="shared" si="2"/>
        <v>3.1209469069505649E-3</v>
      </c>
      <c r="L44" s="81">
        <f t="shared" si="3"/>
        <v>2.8120946906950568E-2</v>
      </c>
      <c r="M44" s="106">
        <v>6.25</v>
      </c>
      <c r="N44" s="130">
        <f t="shared" si="4"/>
        <v>125</v>
      </c>
      <c r="O44" s="25">
        <v>1.5465137749347171</v>
      </c>
      <c r="P44" s="12">
        <f t="shared" si="5"/>
        <v>2.0180530930494354</v>
      </c>
      <c r="Q44" s="12">
        <f t="shared" si="6"/>
        <v>1.741836414252711</v>
      </c>
      <c r="T44" t="s">
        <v>51</v>
      </c>
      <c r="U44" t="s">
        <v>72</v>
      </c>
      <c r="V44" t="s">
        <v>162</v>
      </c>
      <c r="W44" t="s">
        <v>162</v>
      </c>
      <c r="X44">
        <v>63</v>
      </c>
      <c r="Y44" t="s">
        <v>186</v>
      </c>
      <c r="Z44">
        <v>6.1050000000000004</v>
      </c>
      <c r="AA44" s="8">
        <v>30</v>
      </c>
      <c r="AB44">
        <f t="shared" si="7"/>
        <v>0.03</v>
      </c>
      <c r="AC44" s="81">
        <f t="shared" si="8"/>
        <v>3.7076047610300057E-3</v>
      </c>
      <c r="AD44" s="25">
        <f t="shared" si="9"/>
        <v>3.3707604761030005E-2</v>
      </c>
      <c r="AE44" s="106">
        <v>5.68</v>
      </c>
      <c r="AF44" s="106">
        <f t="shared" si="0"/>
        <v>113.6</v>
      </c>
      <c r="AG44" s="25">
        <v>1.5465137749347171</v>
      </c>
      <c r="AH44" s="25">
        <f t="shared" si="10"/>
        <v>2.3973952389699948</v>
      </c>
      <c r="AI44" s="12">
        <f t="shared" si="11"/>
        <v>1.5972267895627257</v>
      </c>
      <c r="AJ44" s="12"/>
      <c r="AK44" s="12"/>
      <c r="AL44" s="134"/>
      <c r="AM44" s="134"/>
      <c r="AO44" s="32" t="s">
        <v>51</v>
      </c>
      <c r="AP44" t="s">
        <v>186</v>
      </c>
      <c r="AQ44" s="53">
        <f t="shared" si="15"/>
        <v>0.32135472153330064</v>
      </c>
      <c r="AR44" s="197">
        <f t="shared" si="13"/>
        <v>0.32135472153330064</v>
      </c>
      <c r="AS44" s="21">
        <f t="shared" si="14"/>
        <v>321.35472153330062</v>
      </c>
      <c r="AT44" s="136"/>
    </row>
    <row r="45" spans="1:51" x14ac:dyDescent="0.3">
      <c r="A45" t="s">
        <v>52</v>
      </c>
      <c r="B45" t="s">
        <v>73</v>
      </c>
      <c r="C45" t="s">
        <v>163</v>
      </c>
      <c r="D45" t="s">
        <v>382</v>
      </c>
      <c r="E45">
        <v>92</v>
      </c>
      <c r="F45" t="s">
        <v>186</v>
      </c>
      <c r="G45" s="59">
        <v>59</v>
      </c>
      <c r="H45">
        <v>5.5640000000000001</v>
      </c>
      <c r="I45" s="8">
        <v>25</v>
      </c>
      <c r="J45">
        <f t="shared" si="1"/>
        <v>2.5000000000000001E-2</v>
      </c>
      <c r="K45" s="81">
        <f t="shared" si="2"/>
        <v>3.3658584672685318E-3</v>
      </c>
      <c r="L45" s="81">
        <f t="shared" si="3"/>
        <v>2.8365858467268534E-2</v>
      </c>
      <c r="M45" s="106">
        <v>6.54</v>
      </c>
      <c r="N45" s="130">
        <f t="shared" si="4"/>
        <v>130.80000000000001</v>
      </c>
      <c r="O45" s="25">
        <v>1.5312291848132396</v>
      </c>
      <c r="P45" s="12">
        <f t="shared" si="5"/>
        <v>2.1981415327314684</v>
      </c>
      <c r="Q45" s="12">
        <f t="shared" si="6"/>
        <v>1.687905092675386</v>
      </c>
      <c r="T45" t="s">
        <v>52</v>
      </c>
      <c r="U45" t="s">
        <v>73</v>
      </c>
      <c r="V45" t="s">
        <v>163</v>
      </c>
      <c r="W45" t="s">
        <v>163</v>
      </c>
      <c r="X45">
        <v>64</v>
      </c>
      <c r="Y45" t="s">
        <v>186</v>
      </c>
      <c r="Z45">
        <v>6.26</v>
      </c>
      <c r="AA45" s="8">
        <v>30</v>
      </c>
      <c r="AB45">
        <f t="shared" si="7"/>
        <v>0.03</v>
      </c>
      <c r="AC45" s="81">
        <f t="shared" si="8"/>
        <v>3.7868932431885348E-3</v>
      </c>
      <c r="AD45" s="25">
        <f t="shared" si="9"/>
        <v>3.3786893243188537E-2</v>
      </c>
      <c r="AE45" s="106">
        <v>6.22</v>
      </c>
      <c r="AF45" s="106">
        <f t="shared" si="0"/>
        <v>124.39999999999999</v>
      </c>
      <c r="AG45" s="25">
        <v>1.5312291848132396</v>
      </c>
      <c r="AH45" s="25">
        <f t="shared" si="10"/>
        <v>2.4731067568114651</v>
      </c>
      <c r="AI45" s="12">
        <f t="shared" si="11"/>
        <v>1.6995180284378932</v>
      </c>
      <c r="AJ45" s="12"/>
      <c r="AK45" s="12"/>
      <c r="AL45" s="134"/>
      <c r="AM45" s="134"/>
      <c r="AO45" s="112" t="s">
        <v>52</v>
      </c>
      <c r="AP45" s="127" t="s">
        <v>186</v>
      </c>
      <c r="AQ45" s="199">
        <f t="shared" si="15"/>
        <v>-2.58065239166827E-2</v>
      </c>
      <c r="AR45" s="222">
        <v>0.05</v>
      </c>
      <c r="AS45" s="21">
        <f t="shared" si="14"/>
        <v>50</v>
      </c>
      <c r="AT45" s="136"/>
      <c r="AX45" s="1"/>
    </row>
    <row r="46" spans="1:51" x14ac:dyDescent="0.3">
      <c r="A46" t="s">
        <v>53</v>
      </c>
      <c r="B46" t="s">
        <v>74</v>
      </c>
      <c r="C46" t="s">
        <v>164</v>
      </c>
      <c r="D46" t="s">
        <v>383</v>
      </c>
      <c r="E46">
        <v>93</v>
      </c>
      <c r="F46" t="s">
        <v>186</v>
      </c>
      <c r="G46" s="59">
        <v>312</v>
      </c>
      <c r="H46">
        <v>5.1890000000000001</v>
      </c>
      <c r="I46" s="8">
        <v>25</v>
      </c>
      <c r="J46">
        <f t="shared" si="1"/>
        <v>2.5000000000000001E-2</v>
      </c>
      <c r="K46" s="81">
        <f t="shared" si="2"/>
        <v>3.1528425468904243E-3</v>
      </c>
      <c r="L46" s="81">
        <f t="shared" si="3"/>
        <v>2.8152842546890426E-2</v>
      </c>
      <c r="M46" s="106">
        <v>3.19</v>
      </c>
      <c r="N46" s="130">
        <f t="shared" si="4"/>
        <v>63.8</v>
      </c>
      <c r="O46" s="25">
        <v>1.5484276729559747</v>
      </c>
      <c r="P46" s="12">
        <f t="shared" si="5"/>
        <v>2.0361574531095759</v>
      </c>
      <c r="Q46" s="12">
        <f t="shared" si="6"/>
        <v>0.88212792765538117</v>
      </c>
      <c r="T46" t="s">
        <v>53</v>
      </c>
      <c r="U46" t="s">
        <v>74</v>
      </c>
      <c r="V46" t="s">
        <v>164</v>
      </c>
      <c r="W46" t="s">
        <v>164</v>
      </c>
      <c r="X46">
        <v>65</v>
      </c>
      <c r="Y46" t="s">
        <v>186</v>
      </c>
      <c r="Z46">
        <v>6.1710000000000003</v>
      </c>
      <c r="AA46" s="8">
        <v>30</v>
      </c>
      <c r="AB46">
        <f t="shared" si="7"/>
        <v>0.03</v>
      </c>
      <c r="AC46" s="81">
        <f t="shared" si="8"/>
        <v>3.7495069101678184E-3</v>
      </c>
      <c r="AD46" s="25">
        <f t="shared" si="9"/>
        <v>3.3749506910167815E-2</v>
      </c>
      <c r="AE46" s="106">
        <v>2.89</v>
      </c>
      <c r="AF46" s="106">
        <f t="shared" si="0"/>
        <v>57.800000000000004</v>
      </c>
      <c r="AG46" s="25">
        <v>1.5484276729559747</v>
      </c>
      <c r="AH46" s="25">
        <f t="shared" si="10"/>
        <v>2.421493089832182</v>
      </c>
      <c r="AI46" s="12">
        <f t="shared" si="11"/>
        <v>0.80558623421175724</v>
      </c>
      <c r="AJ46" s="12"/>
      <c r="AK46" s="12"/>
      <c r="AL46" s="134"/>
      <c r="AM46" s="134"/>
      <c r="AO46" s="32" t="s">
        <v>53</v>
      </c>
      <c r="AP46" t="s">
        <v>186</v>
      </c>
      <c r="AQ46" s="53">
        <f t="shared" si="15"/>
        <v>0.17009265209694208</v>
      </c>
      <c r="AR46" s="197">
        <f t="shared" si="13"/>
        <v>0.17009265209694208</v>
      </c>
      <c r="AS46" s="21">
        <f t="shared" si="14"/>
        <v>170.09265209694209</v>
      </c>
      <c r="AT46" s="136"/>
    </row>
    <row r="47" spans="1:51" x14ac:dyDescent="0.3">
      <c r="A47" t="s">
        <v>54</v>
      </c>
      <c r="B47" t="s">
        <v>75</v>
      </c>
      <c r="C47" t="s">
        <v>165</v>
      </c>
      <c r="D47" t="s">
        <v>384</v>
      </c>
      <c r="E47">
        <v>94</v>
      </c>
      <c r="F47" t="s">
        <v>186</v>
      </c>
      <c r="G47" s="59">
        <v>54</v>
      </c>
      <c r="H47">
        <v>5.1319999999999997</v>
      </c>
      <c r="I47" s="8">
        <v>25</v>
      </c>
      <c r="J47">
        <f t="shared" si="1"/>
        <v>2.5000000000000001E-2</v>
      </c>
      <c r="K47" s="81">
        <f t="shared" si="2"/>
        <v>3.1198192881413717E-3</v>
      </c>
      <c r="L47" s="81">
        <f t="shared" si="3"/>
        <v>2.8119819288141373E-2</v>
      </c>
      <c r="M47" s="106">
        <v>2.06</v>
      </c>
      <c r="N47" s="130">
        <f t="shared" si="4"/>
        <v>41.2</v>
      </c>
      <c r="O47" s="25">
        <v>1.550466749708395</v>
      </c>
      <c r="P47" s="12">
        <f t="shared" si="5"/>
        <v>2.0121807118586279</v>
      </c>
      <c r="Q47" s="12">
        <f t="shared" si="6"/>
        <v>0.5757616837512064</v>
      </c>
      <c r="T47" t="s">
        <v>54</v>
      </c>
      <c r="U47" t="s">
        <v>75</v>
      </c>
      <c r="V47" t="s">
        <v>165</v>
      </c>
      <c r="W47" t="s">
        <v>165</v>
      </c>
      <c r="X47">
        <v>66</v>
      </c>
      <c r="Y47" t="s">
        <v>186</v>
      </c>
      <c r="Z47">
        <v>6.085</v>
      </c>
      <c r="AA47" s="8">
        <v>30</v>
      </c>
      <c r="AB47">
        <f t="shared" si="7"/>
        <v>0.03</v>
      </c>
      <c r="AC47" s="81">
        <f t="shared" si="8"/>
        <v>3.6991621918044133E-3</v>
      </c>
      <c r="AD47" s="25">
        <f t="shared" si="9"/>
        <v>3.369916219180441E-2</v>
      </c>
      <c r="AE47" s="106">
        <v>1.99</v>
      </c>
      <c r="AF47" s="106">
        <f t="shared" si="0"/>
        <v>39.799999999999997</v>
      </c>
      <c r="AG47" s="25">
        <v>1.550466749708395</v>
      </c>
      <c r="AH47" s="25">
        <f t="shared" si="10"/>
        <v>2.3858378081955869</v>
      </c>
      <c r="AI47" s="12">
        <f t="shared" si="11"/>
        <v>0.56216170714814329</v>
      </c>
      <c r="AJ47" s="12"/>
      <c r="AK47" s="12"/>
      <c r="AL47" s="134"/>
      <c r="AM47" s="134"/>
      <c r="AO47" s="32" t="s">
        <v>54</v>
      </c>
      <c r="AP47" t="s">
        <v>186</v>
      </c>
      <c r="AQ47" s="53">
        <f t="shared" si="15"/>
        <v>3.0222170229029139E-2</v>
      </c>
      <c r="AR47" s="222">
        <v>0.05</v>
      </c>
      <c r="AS47" s="21">
        <f t="shared" si="14"/>
        <v>50</v>
      </c>
      <c r="AT47" s="136"/>
      <c r="AV47" s="228"/>
      <c r="AX47" s="25"/>
      <c r="AY47" s="25"/>
    </row>
    <row r="48" spans="1:51" x14ac:dyDescent="0.3">
      <c r="A48" t="s">
        <v>55</v>
      </c>
      <c r="B48" t="s">
        <v>76</v>
      </c>
      <c r="C48" t="s">
        <v>166</v>
      </c>
      <c r="D48" t="s">
        <v>385</v>
      </c>
      <c r="E48">
        <v>95</v>
      </c>
      <c r="F48" t="s">
        <v>186</v>
      </c>
      <c r="G48" s="59" t="s">
        <v>427</v>
      </c>
      <c r="H48">
        <v>5.9240000000000004</v>
      </c>
      <c r="I48" s="8">
        <v>35</v>
      </c>
      <c r="J48">
        <f t="shared" si="1"/>
        <v>3.5000000000000003E-2</v>
      </c>
      <c r="K48" s="81">
        <f t="shared" si="2"/>
        <v>4.2409522185369048E-3</v>
      </c>
      <c r="L48" s="81">
        <f t="shared" si="3"/>
        <v>3.9240952218536906E-2</v>
      </c>
      <c r="M48" s="106">
        <v>3.01</v>
      </c>
      <c r="N48" s="130">
        <f t="shared" si="4"/>
        <v>60.199999999999996</v>
      </c>
      <c r="O48" s="25">
        <v>2.5198050021195422</v>
      </c>
      <c r="P48" s="12">
        <f t="shared" si="5"/>
        <v>1.6830477814630951</v>
      </c>
      <c r="Q48" s="12">
        <f t="shared" si="6"/>
        <v>1.4035877944607962</v>
      </c>
      <c r="T48" t="s">
        <v>55</v>
      </c>
      <c r="U48" t="s">
        <v>76</v>
      </c>
      <c r="V48" t="s">
        <v>166</v>
      </c>
      <c r="W48" t="s">
        <v>166</v>
      </c>
      <c r="X48">
        <v>67</v>
      </c>
      <c r="Y48" t="s">
        <v>186</v>
      </c>
      <c r="Z48">
        <v>5.18</v>
      </c>
      <c r="AA48" s="10">
        <v>30</v>
      </c>
      <c r="AB48">
        <f t="shared" si="7"/>
        <v>0.03</v>
      </c>
      <c r="AC48" s="81">
        <f t="shared" si="8"/>
        <v>3.70832756448703E-3</v>
      </c>
      <c r="AD48" s="25">
        <f t="shared" si="9"/>
        <v>3.370832756448703E-2</v>
      </c>
      <c r="AE48" s="106">
        <v>2.62</v>
      </c>
      <c r="AF48" s="106">
        <f t="shared" si="0"/>
        <v>52.400000000000006</v>
      </c>
      <c r="AG48" s="25">
        <v>2.5198050021195422</v>
      </c>
      <c r="AH48" s="25">
        <f t="shared" si="10"/>
        <v>1.4716724355129696</v>
      </c>
      <c r="AI48" s="12">
        <f t="shared" si="11"/>
        <v>1.2002102653797748</v>
      </c>
      <c r="AJ48" s="12"/>
      <c r="AK48" s="12"/>
      <c r="AL48" s="134"/>
      <c r="AM48" s="134"/>
      <c r="AO48" s="32" t="s">
        <v>55</v>
      </c>
      <c r="AP48" t="s">
        <v>186</v>
      </c>
      <c r="AQ48" s="53">
        <f t="shared" si="15"/>
        <v>0.45195006462449189</v>
      </c>
      <c r="AR48" s="197">
        <f t="shared" si="13"/>
        <v>0.45195006462449189</v>
      </c>
      <c r="AS48" s="21">
        <f t="shared" si="14"/>
        <v>451.95006462449192</v>
      </c>
      <c r="AT48" s="136"/>
      <c r="AV48" s="228"/>
      <c r="AX48" s="25"/>
      <c r="AY48" s="25"/>
    </row>
    <row r="49" spans="1:51" x14ac:dyDescent="0.3">
      <c r="A49" t="s">
        <v>56</v>
      </c>
      <c r="B49" t="s">
        <v>77</v>
      </c>
      <c r="C49" t="s">
        <v>167</v>
      </c>
      <c r="D49" t="s">
        <v>386</v>
      </c>
      <c r="E49">
        <v>96</v>
      </c>
      <c r="F49" t="s">
        <v>186</v>
      </c>
      <c r="G49" s="59">
        <v>14</v>
      </c>
      <c r="H49">
        <v>5.391</v>
      </c>
      <c r="I49" s="8">
        <v>25</v>
      </c>
      <c r="J49">
        <f t="shared" si="1"/>
        <v>2.5000000000000001E-2</v>
      </c>
      <c r="K49" s="81">
        <f t="shared" si="2"/>
        <v>3.265681783986066E-3</v>
      </c>
      <c r="L49" s="81">
        <f t="shared" si="3"/>
        <v>2.8265681783986068E-2</v>
      </c>
      <c r="M49" s="106">
        <v>3.92</v>
      </c>
      <c r="N49" s="130">
        <f t="shared" si="4"/>
        <v>78.400000000000006</v>
      </c>
      <c r="O49" s="25">
        <v>1.5365613296774452</v>
      </c>
      <c r="P49" s="12">
        <f t="shared" si="5"/>
        <v>2.1253182160139339</v>
      </c>
      <c r="Q49" s="12">
        <f t="shared" si="6"/>
        <v>1.0426812489381962</v>
      </c>
      <c r="T49" t="s">
        <v>56</v>
      </c>
      <c r="U49" t="s">
        <v>77</v>
      </c>
      <c r="V49" t="s">
        <v>167</v>
      </c>
      <c r="W49" t="s">
        <v>167</v>
      </c>
      <c r="X49">
        <v>68</v>
      </c>
      <c r="Y49" t="s">
        <v>186</v>
      </c>
      <c r="Z49">
        <v>6.1589999999999998</v>
      </c>
      <c r="AA49">
        <v>30</v>
      </c>
      <c r="AB49">
        <f t="shared" si="7"/>
        <v>0.03</v>
      </c>
      <c r="AC49" s="81">
        <f t="shared" si="8"/>
        <v>3.7309096842089002E-3</v>
      </c>
      <c r="AD49" s="25">
        <f t="shared" si="9"/>
        <v>3.3730909684208901E-2</v>
      </c>
      <c r="AE49" s="106">
        <v>3.67</v>
      </c>
      <c r="AF49" s="106">
        <f t="shared" si="0"/>
        <v>73.400000000000006</v>
      </c>
      <c r="AG49" s="25">
        <v>1.5365613296774452</v>
      </c>
      <c r="AH49" s="25">
        <f t="shared" si="10"/>
        <v>2.4280903157910996</v>
      </c>
      <c r="AI49" s="12">
        <f t="shared" si="11"/>
        <v>1.0196691427494424</v>
      </c>
      <c r="AJ49" s="12"/>
      <c r="AK49" s="12"/>
      <c r="AL49" s="134"/>
      <c r="AM49" s="134"/>
      <c r="AO49" s="32" t="s">
        <v>56</v>
      </c>
      <c r="AP49" t="s">
        <v>186</v>
      </c>
      <c r="AQ49" s="53">
        <f t="shared" si="15"/>
        <v>5.1138013752786274E-2</v>
      </c>
      <c r="AR49" s="197">
        <f t="shared" si="13"/>
        <v>5.1138013752786274E-2</v>
      </c>
      <c r="AS49" s="21">
        <f t="shared" si="14"/>
        <v>51.138013752786271</v>
      </c>
      <c r="AT49" s="136"/>
      <c r="AV49" s="228"/>
      <c r="AX49" s="25"/>
      <c r="AY49" s="25"/>
    </row>
    <row r="50" spans="1:51" x14ac:dyDescent="0.3">
      <c r="A50" t="s">
        <v>57</v>
      </c>
      <c r="B50" t="s">
        <v>78</v>
      </c>
      <c r="C50" t="s">
        <v>168</v>
      </c>
      <c r="D50" t="s">
        <v>387</v>
      </c>
      <c r="E50">
        <v>97</v>
      </c>
      <c r="F50" t="s">
        <v>186</v>
      </c>
      <c r="G50" s="59" t="s">
        <v>331</v>
      </c>
      <c r="H50">
        <v>5.1029999999999998</v>
      </c>
      <c r="I50" s="8">
        <v>25</v>
      </c>
      <c r="J50">
        <f t="shared" si="1"/>
        <v>2.5000000000000001E-2</v>
      </c>
      <c r="K50" s="81">
        <f t="shared" si="2"/>
        <v>3.0810121569349786E-3</v>
      </c>
      <c r="L50" s="81">
        <f t="shared" si="3"/>
        <v>2.8081012156934981E-2</v>
      </c>
      <c r="M50" s="106">
        <v>4.7300000000000004</v>
      </c>
      <c r="N50" s="130">
        <f t="shared" si="4"/>
        <v>94.600000000000009</v>
      </c>
      <c r="O50" s="25">
        <v>1.523754046050366</v>
      </c>
      <c r="P50" s="12">
        <f t="shared" si="5"/>
        <v>2.0219878430650211</v>
      </c>
      <c r="Q50" s="12">
        <f t="shared" si="6"/>
        <v>1.3137881907436499</v>
      </c>
      <c r="T50" t="s">
        <v>57</v>
      </c>
      <c r="U50" t="s">
        <v>78</v>
      </c>
      <c r="V50" t="s">
        <v>168</v>
      </c>
      <c r="W50" t="s">
        <v>168</v>
      </c>
      <c r="X50">
        <v>69</v>
      </c>
      <c r="Y50" t="s">
        <v>186</v>
      </c>
      <c r="Z50">
        <v>6.0350000000000001</v>
      </c>
      <c r="AA50">
        <v>30</v>
      </c>
      <c r="AB50">
        <f t="shared" si="7"/>
        <v>0.03</v>
      </c>
      <c r="AC50" s="81">
        <f t="shared" si="8"/>
        <v>3.6437210204002739E-3</v>
      </c>
      <c r="AD50" s="25">
        <f t="shared" si="9"/>
        <v>3.3643721020400273E-2</v>
      </c>
      <c r="AE50" s="106">
        <v>4.68</v>
      </c>
      <c r="AF50" s="106">
        <f t="shared" si="0"/>
        <v>93.6</v>
      </c>
      <c r="AG50" s="25">
        <v>1.523754046050366</v>
      </c>
      <c r="AH50" s="25">
        <f t="shared" si="10"/>
        <v>2.3912789795997265</v>
      </c>
      <c r="AI50" s="12">
        <f t="shared" si="11"/>
        <v>1.3168903814127877</v>
      </c>
      <c r="AJ50" s="12"/>
      <c r="AK50" s="12"/>
      <c r="AL50" s="134"/>
      <c r="AM50" s="134"/>
      <c r="AO50" s="112" t="s">
        <v>57</v>
      </c>
      <c r="AP50" s="127" t="s">
        <v>186</v>
      </c>
      <c r="AQ50" s="199">
        <f t="shared" si="15"/>
        <v>-6.8937570425283328E-3</v>
      </c>
      <c r="AR50" s="222">
        <v>0.05</v>
      </c>
      <c r="AS50" s="21">
        <f t="shared" si="14"/>
        <v>50</v>
      </c>
      <c r="AT50" s="136"/>
      <c r="AV50" s="228"/>
      <c r="AX50" s="25"/>
      <c r="AY50" s="25"/>
    </row>
    <row r="51" spans="1:51" x14ac:dyDescent="0.3">
      <c r="A51" t="s">
        <v>58</v>
      </c>
      <c r="B51" t="s">
        <v>79</v>
      </c>
      <c r="C51" t="s">
        <v>169</v>
      </c>
      <c r="D51" t="s">
        <v>388</v>
      </c>
      <c r="E51">
        <v>98</v>
      </c>
      <c r="F51" t="s">
        <v>186</v>
      </c>
      <c r="G51" s="59">
        <v>64</v>
      </c>
      <c r="H51">
        <v>5.1260000000000003</v>
      </c>
      <c r="I51" s="8">
        <v>25</v>
      </c>
      <c r="J51">
        <f t="shared" si="1"/>
        <v>2.5000000000000001E-2</v>
      </c>
      <c r="K51" s="81">
        <f t="shared" si="2"/>
        <v>3.1139924023598211E-3</v>
      </c>
      <c r="L51" s="81">
        <f t="shared" si="3"/>
        <v>2.8113992402359823E-2</v>
      </c>
      <c r="M51" s="106">
        <v>3.66</v>
      </c>
      <c r="N51" s="130">
        <f t="shared" si="4"/>
        <v>73.2</v>
      </c>
      <c r="O51" s="25">
        <v>1.5477040971476075</v>
      </c>
      <c r="P51" s="12">
        <f t="shared" si="5"/>
        <v>2.0120075976401792</v>
      </c>
      <c r="Q51" s="12">
        <f t="shared" si="6"/>
        <v>1.0228312488811859</v>
      </c>
      <c r="T51" t="s">
        <v>58</v>
      </c>
      <c r="U51" t="s">
        <v>79</v>
      </c>
      <c r="V51" t="s">
        <v>169</v>
      </c>
      <c r="W51" t="s">
        <v>169</v>
      </c>
      <c r="X51">
        <v>70</v>
      </c>
      <c r="Y51" t="s">
        <v>186</v>
      </c>
      <c r="Z51">
        <v>6.1890000000000001</v>
      </c>
      <c r="AA51">
        <v>30</v>
      </c>
      <c r="AB51">
        <f t="shared" si="7"/>
        <v>0.03</v>
      </c>
      <c r="AC51" s="81">
        <f t="shared" si="8"/>
        <v>3.7597539949677976E-3</v>
      </c>
      <c r="AD51" s="25">
        <f t="shared" si="9"/>
        <v>3.3759753994967799E-2</v>
      </c>
      <c r="AE51" s="106">
        <v>3.71</v>
      </c>
      <c r="AF51" s="106">
        <f t="shared" si="0"/>
        <v>74.2</v>
      </c>
      <c r="AG51" s="25">
        <v>1.5477040971476075</v>
      </c>
      <c r="AH51" s="25">
        <f t="shared" si="10"/>
        <v>2.4292460050322022</v>
      </c>
      <c r="AI51" s="12">
        <f t="shared" si="11"/>
        <v>1.0311733522407933</v>
      </c>
      <c r="AJ51" s="12"/>
      <c r="AK51" s="12"/>
      <c r="AL51" s="134"/>
      <c r="AM51" s="134"/>
      <c r="AO51" s="112" t="s">
        <v>58</v>
      </c>
      <c r="AP51" s="127" t="s">
        <v>186</v>
      </c>
      <c r="AQ51" s="199">
        <f t="shared" si="15"/>
        <v>-1.8538007465794197E-2</v>
      </c>
      <c r="AR51" s="222">
        <v>0.05</v>
      </c>
      <c r="AS51" s="21">
        <f t="shared" si="14"/>
        <v>50</v>
      </c>
      <c r="AT51" s="136"/>
      <c r="AV51" s="228"/>
      <c r="AX51" s="25"/>
      <c r="AY51" s="25"/>
    </row>
    <row r="52" spans="1:51" x14ac:dyDescent="0.3">
      <c r="A52" t="s">
        <v>59</v>
      </c>
      <c r="B52" t="s">
        <v>80</v>
      </c>
      <c r="C52" t="s">
        <v>170</v>
      </c>
      <c r="D52" t="s">
        <v>389</v>
      </c>
      <c r="E52">
        <v>99</v>
      </c>
      <c r="F52" t="s">
        <v>186</v>
      </c>
      <c r="G52" s="59">
        <v>32</v>
      </c>
      <c r="H52">
        <v>5.0060000000000002</v>
      </c>
      <c r="I52" s="8">
        <v>25</v>
      </c>
      <c r="J52">
        <f t="shared" si="1"/>
        <v>2.5000000000000001E-2</v>
      </c>
      <c r="K52" s="81">
        <f t="shared" si="2"/>
        <v>3.0465226536356719E-3</v>
      </c>
      <c r="L52" s="81">
        <f t="shared" si="3"/>
        <v>2.8046522653635674E-2</v>
      </c>
      <c r="M52" s="106">
        <v>2.95</v>
      </c>
      <c r="N52" s="130">
        <f t="shared" si="4"/>
        <v>59</v>
      </c>
      <c r="O52" s="25">
        <v>1.554762885770677</v>
      </c>
      <c r="P52" s="12">
        <f t="shared" si="5"/>
        <v>1.9594773463643285</v>
      </c>
      <c r="Q52" s="12">
        <f t="shared" si="6"/>
        <v>0.84448275946377571</v>
      </c>
      <c r="T52" t="s">
        <v>59</v>
      </c>
      <c r="U52" t="s">
        <v>80</v>
      </c>
      <c r="V52" t="s">
        <v>170</v>
      </c>
      <c r="W52" t="s">
        <v>170</v>
      </c>
      <c r="X52">
        <v>71</v>
      </c>
      <c r="Y52" t="s">
        <v>186</v>
      </c>
      <c r="Z52">
        <v>6.22</v>
      </c>
      <c r="AA52">
        <v>30</v>
      </c>
      <c r="AB52">
        <f t="shared" si="7"/>
        <v>0.03</v>
      </c>
      <c r="AC52" s="81">
        <f t="shared" si="8"/>
        <v>3.7853317829831955E-3</v>
      </c>
      <c r="AD52" s="25">
        <f t="shared" si="9"/>
        <v>3.3785331782983194E-2</v>
      </c>
      <c r="AE52" s="106">
        <v>2.83</v>
      </c>
      <c r="AF52" s="106">
        <f t="shared" si="0"/>
        <v>56.6</v>
      </c>
      <c r="AG52" s="25">
        <v>1.554762885770677</v>
      </c>
      <c r="AH52" s="25">
        <f t="shared" si="10"/>
        <v>2.4346682170168044</v>
      </c>
      <c r="AI52" s="12">
        <f t="shared" si="11"/>
        <v>0.78542520313503983</v>
      </c>
      <c r="AJ52" s="12"/>
      <c r="AK52" s="12"/>
      <c r="AL52" s="134"/>
      <c r="AM52" s="134"/>
      <c r="AO52" s="32" t="s">
        <v>59</v>
      </c>
      <c r="AP52" t="s">
        <v>186</v>
      </c>
      <c r="AQ52" s="53">
        <f t="shared" si="15"/>
        <v>0.13123901406385752</v>
      </c>
      <c r="AR52" s="197">
        <f t="shared" si="13"/>
        <v>0.13123901406385752</v>
      </c>
      <c r="AS52" s="21">
        <f t="shared" si="14"/>
        <v>131.23901406385752</v>
      </c>
      <c r="AT52" s="136"/>
      <c r="AV52" s="228"/>
      <c r="AX52" s="25"/>
      <c r="AY52" s="25"/>
    </row>
    <row r="53" spans="1:51" x14ac:dyDescent="0.3">
      <c r="A53" t="s">
        <v>60</v>
      </c>
      <c r="B53" t="s">
        <v>81</v>
      </c>
      <c r="C53" t="s">
        <v>171</v>
      </c>
      <c r="D53" t="s">
        <v>390</v>
      </c>
      <c r="E53">
        <v>100</v>
      </c>
      <c r="F53" t="s">
        <v>186</v>
      </c>
      <c r="G53" s="59" t="s">
        <v>428</v>
      </c>
      <c r="H53">
        <v>5.3319999999999999</v>
      </c>
      <c r="I53" s="8">
        <v>25</v>
      </c>
      <c r="J53">
        <f t="shared" si="1"/>
        <v>2.5000000000000001E-2</v>
      </c>
      <c r="K53" s="81">
        <f t="shared" si="2"/>
        <v>3.8314502429626193E-3</v>
      </c>
      <c r="L53" s="81">
        <f t="shared" si="3"/>
        <v>2.883145024296262E-2</v>
      </c>
      <c r="M53" s="106">
        <v>4.6399999999999997</v>
      </c>
      <c r="N53" s="130">
        <f t="shared" si="4"/>
        <v>92.8</v>
      </c>
      <c r="O53" s="25">
        <v>2.5533643419644179</v>
      </c>
      <c r="P53" s="12">
        <f t="shared" si="5"/>
        <v>1.5005497570373809</v>
      </c>
      <c r="Q53" s="12">
        <f t="shared" si="6"/>
        <v>1.7830522246922593</v>
      </c>
      <c r="T53" t="s">
        <v>60</v>
      </c>
      <c r="U53" t="s">
        <v>81</v>
      </c>
      <c r="V53" t="s">
        <v>171</v>
      </c>
      <c r="W53" t="s">
        <v>171</v>
      </c>
      <c r="X53">
        <v>72</v>
      </c>
      <c r="Y53" t="s">
        <v>186</v>
      </c>
      <c r="Z53">
        <v>5.2489999999999997</v>
      </c>
      <c r="AA53">
        <v>25</v>
      </c>
      <c r="AB53">
        <f t="shared" si="7"/>
        <v>2.5000000000000001E-2</v>
      </c>
      <c r="AC53" s="81">
        <f t="shared" si="8"/>
        <v>3.7718083880927959E-3</v>
      </c>
      <c r="AD53" s="25">
        <f t="shared" si="9"/>
        <v>2.8771808388092797E-2</v>
      </c>
      <c r="AE53" s="106">
        <v>3.75</v>
      </c>
      <c r="AF53" s="106">
        <f t="shared" si="0"/>
        <v>75</v>
      </c>
      <c r="AG53" s="25">
        <v>2.5533643419644179</v>
      </c>
      <c r="AH53" s="25">
        <f t="shared" si="10"/>
        <v>1.4771916119072039</v>
      </c>
      <c r="AI53" s="12">
        <f t="shared" si="11"/>
        <v>1.4608027907232095</v>
      </c>
      <c r="AJ53" s="12"/>
      <c r="AK53" s="12"/>
      <c r="AL53" s="134"/>
      <c r="AM53" s="134"/>
      <c r="AO53" s="32" t="s">
        <v>60</v>
      </c>
      <c r="AP53" t="s">
        <v>186</v>
      </c>
      <c r="AQ53" s="53">
        <f t="shared" si="15"/>
        <v>0.71610985326455512</v>
      </c>
      <c r="AR53" s="197">
        <f t="shared" si="13"/>
        <v>0.71610985326455512</v>
      </c>
      <c r="AS53" s="21">
        <f t="shared" si="14"/>
        <v>716.10985326455511</v>
      </c>
      <c r="AT53" s="135"/>
      <c r="AV53" s="228"/>
      <c r="AX53" s="25"/>
      <c r="AY53" s="25"/>
    </row>
    <row r="54" spans="1:51" x14ac:dyDescent="0.3">
      <c r="A54" t="s">
        <v>61</v>
      </c>
      <c r="B54" t="s">
        <v>82</v>
      </c>
      <c r="C54" t="s">
        <v>172</v>
      </c>
      <c r="D54" t="s">
        <v>391</v>
      </c>
      <c r="E54">
        <v>101</v>
      </c>
      <c r="F54" t="s">
        <v>186</v>
      </c>
      <c r="G54" s="59" t="s">
        <v>429</v>
      </c>
      <c r="H54">
        <v>5.0510000000000002</v>
      </c>
      <c r="I54" s="8">
        <v>30</v>
      </c>
      <c r="J54">
        <f t="shared" si="1"/>
        <v>0.03</v>
      </c>
      <c r="K54" s="81">
        <f t="shared" si="2"/>
        <v>3.0847356696959037E-3</v>
      </c>
      <c r="L54" s="81">
        <f t="shared" si="3"/>
        <v>3.30847356696959E-2</v>
      </c>
      <c r="M54" s="106">
        <v>3.45</v>
      </c>
      <c r="N54" s="130">
        <f t="shared" si="4"/>
        <v>69</v>
      </c>
      <c r="O54" s="25">
        <v>1.5688306104901106</v>
      </c>
      <c r="P54" s="12">
        <f t="shared" si="5"/>
        <v>1.9662643303040963</v>
      </c>
      <c r="Q54" s="12">
        <f t="shared" si="6"/>
        <v>1.1610070558804062</v>
      </c>
      <c r="T54" t="s">
        <v>61</v>
      </c>
      <c r="U54" t="s">
        <v>82</v>
      </c>
      <c r="V54" t="s">
        <v>172</v>
      </c>
      <c r="W54" t="s">
        <v>172</v>
      </c>
      <c r="X54">
        <v>73</v>
      </c>
      <c r="Y54" t="s">
        <v>186</v>
      </c>
      <c r="Z54">
        <v>4.9980000000000002</v>
      </c>
      <c r="AA54" s="10">
        <v>30</v>
      </c>
      <c r="AB54">
        <f t="shared" si="7"/>
        <v>0.03</v>
      </c>
      <c r="AC54" s="81">
        <f t="shared" si="8"/>
        <v>3.0523676256464316E-3</v>
      </c>
      <c r="AD54" s="25">
        <f t="shared" si="9"/>
        <v>3.305236762564643E-2</v>
      </c>
      <c r="AE54" s="106">
        <v>3.33</v>
      </c>
      <c r="AF54" s="106">
        <f t="shared" si="0"/>
        <v>66.599999999999994</v>
      </c>
      <c r="AG54" s="25">
        <v>1.5688306104901106</v>
      </c>
      <c r="AH54" s="25">
        <f t="shared" si="10"/>
        <v>1.9456323743535682</v>
      </c>
      <c r="AI54" s="12">
        <f t="shared" si="11"/>
        <v>1.1313995968017467</v>
      </c>
      <c r="AJ54" s="12"/>
      <c r="AK54" s="12"/>
      <c r="AL54" s="134"/>
      <c r="AM54" s="134"/>
      <c r="AO54" s="32" t="s">
        <v>61</v>
      </c>
      <c r="AP54" t="s">
        <v>186</v>
      </c>
      <c r="AQ54" s="53">
        <f t="shared" si="15"/>
        <v>6.5794353508132161E-2</v>
      </c>
      <c r="AR54" s="197">
        <f t="shared" si="13"/>
        <v>6.5794353508132161E-2</v>
      </c>
      <c r="AS54" s="21">
        <f t="shared" si="14"/>
        <v>65.794353508132161</v>
      </c>
      <c r="AT54" s="136"/>
    </row>
    <row r="55" spans="1:51" x14ac:dyDescent="0.3">
      <c r="A55" t="s">
        <v>62</v>
      </c>
      <c r="B55" t="s">
        <v>83</v>
      </c>
      <c r="C55" t="s">
        <v>173</v>
      </c>
      <c r="D55" t="s">
        <v>392</v>
      </c>
      <c r="E55">
        <v>102</v>
      </c>
      <c r="F55" t="s">
        <v>186</v>
      </c>
      <c r="G55" s="59">
        <v>52</v>
      </c>
      <c r="H55">
        <v>5.2229999999999999</v>
      </c>
      <c r="I55" s="8">
        <v>25</v>
      </c>
      <c r="J55">
        <f t="shared" si="1"/>
        <v>2.5000000000000001E-2</v>
      </c>
      <c r="K55" s="81">
        <f t="shared" si="2"/>
        <v>3.1627310961217067E-3</v>
      </c>
      <c r="L55" s="81">
        <f t="shared" si="3"/>
        <v>2.8162731096121708E-2</v>
      </c>
      <c r="M55" s="106">
        <v>3.85</v>
      </c>
      <c r="N55" s="130">
        <f t="shared" si="4"/>
        <v>77</v>
      </c>
      <c r="O55" s="25">
        <v>1.5351059709575365</v>
      </c>
      <c r="P55" s="12">
        <f t="shared" si="5"/>
        <v>2.0602689038782933</v>
      </c>
      <c r="Q55" s="12">
        <f t="shared" si="6"/>
        <v>1.0525472137735441</v>
      </c>
      <c r="T55" t="s">
        <v>62</v>
      </c>
      <c r="U55" t="s">
        <v>83</v>
      </c>
      <c r="V55" t="s">
        <v>173</v>
      </c>
      <c r="W55" t="s">
        <v>173</v>
      </c>
      <c r="X55">
        <v>74</v>
      </c>
      <c r="Y55" t="s">
        <v>186</v>
      </c>
      <c r="Z55">
        <v>5.9089999999999998</v>
      </c>
      <c r="AA55">
        <v>30</v>
      </c>
      <c r="AB55">
        <f t="shared" si="7"/>
        <v>0.03</v>
      </c>
      <c r="AC55" s="81">
        <f t="shared" si="8"/>
        <v>3.5781309682142762E-3</v>
      </c>
      <c r="AD55" s="25">
        <f t="shared" si="9"/>
        <v>3.3578130968214277E-2</v>
      </c>
      <c r="AE55" s="106">
        <v>3.83</v>
      </c>
      <c r="AF55" s="106">
        <f t="shared" si="0"/>
        <v>76.599999999999994</v>
      </c>
      <c r="AG55" s="25">
        <v>1.5351059709575365</v>
      </c>
      <c r="AH55" s="25">
        <f t="shared" si="10"/>
        <v>2.3308690317857237</v>
      </c>
      <c r="AI55" s="12">
        <f t="shared" si="11"/>
        <v>1.1034874963329406</v>
      </c>
      <c r="AJ55" s="12"/>
      <c r="AK55" s="12"/>
      <c r="AL55" s="134"/>
      <c r="AM55" s="134"/>
      <c r="AO55" s="112" t="s">
        <v>62</v>
      </c>
      <c r="AP55" s="127" t="s">
        <v>186</v>
      </c>
      <c r="AQ55" s="199">
        <f t="shared" si="15"/>
        <v>-0.11320062790977006</v>
      </c>
      <c r="AR55" s="222">
        <v>0.05</v>
      </c>
      <c r="AS55" s="21">
        <f t="shared" si="14"/>
        <v>50</v>
      </c>
      <c r="AT55" s="136"/>
      <c r="AX55" s="25"/>
    </row>
    <row r="56" spans="1:51" x14ac:dyDescent="0.3">
      <c r="A56" t="s">
        <v>63</v>
      </c>
      <c r="B56" t="s">
        <v>84</v>
      </c>
      <c r="C56" t="s">
        <v>174</v>
      </c>
      <c r="D56" t="s">
        <v>393</v>
      </c>
      <c r="E56">
        <v>103</v>
      </c>
      <c r="F56" t="s">
        <v>186</v>
      </c>
      <c r="G56" s="59" t="s">
        <v>327</v>
      </c>
      <c r="H56">
        <v>5.0750000000000002</v>
      </c>
      <c r="I56" s="8">
        <v>25</v>
      </c>
      <c r="J56">
        <f t="shared" si="1"/>
        <v>2.5000000000000001E-2</v>
      </c>
      <c r="K56" s="81">
        <f t="shared" si="2"/>
        <v>3.0533829004554371E-3</v>
      </c>
      <c r="L56" s="81">
        <f t="shared" si="3"/>
        <v>2.8053382900455438E-2</v>
      </c>
      <c r="M56" s="106">
        <v>4.1500000000000004</v>
      </c>
      <c r="N56" s="130">
        <f t="shared" si="4"/>
        <v>83</v>
      </c>
      <c r="O56" s="25">
        <v>1.5103665778961377</v>
      </c>
      <c r="P56" s="12">
        <f t="shared" si="5"/>
        <v>2.0216170995445633</v>
      </c>
      <c r="Q56" s="12">
        <f t="shared" si="6"/>
        <v>1.1517664652037016</v>
      </c>
      <c r="T56" t="s">
        <v>63</v>
      </c>
      <c r="U56" t="s">
        <v>84</v>
      </c>
      <c r="V56" t="s">
        <v>174</v>
      </c>
      <c r="W56" t="s">
        <v>174</v>
      </c>
      <c r="X56">
        <v>75</v>
      </c>
      <c r="Y56" t="s">
        <v>186</v>
      </c>
      <c r="Z56">
        <v>5.31</v>
      </c>
      <c r="AA56">
        <v>25</v>
      </c>
      <c r="AB56">
        <f t="shared" si="7"/>
        <v>2.5000000000000001E-2</v>
      </c>
      <c r="AC56" s="81">
        <f t="shared" si="8"/>
        <v>3.1947710741711071E-3</v>
      </c>
      <c r="AD56" s="25">
        <f t="shared" si="9"/>
        <v>2.8194771074171107E-2</v>
      </c>
      <c r="AE56" s="106">
        <v>4.43</v>
      </c>
      <c r="AF56" s="106">
        <f t="shared" si="0"/>
        <v>88.6</v>
      </c>
      <c r="AG56" s="25">
        <v>1.5103665778961377</v>
      </c>
      <c r="AH56" s="25">
        <f t="shared" si="10"/>
        <v>2.1152289258288923</v>
      </c>
      <c r="AI56" s="12">
        <f t="shared" si="11"/>
        <v>1.1809864580934895</v>
      </c>
      <c r="AJ56" s="12"/>
      <c r="AK56" s="12"/>
      <c r="AL56" s="134"/>
      <c r="AM56" s="134"/>
      <c r="AO56" s="112" t="s">
        <v>63</v>
      </c>
      <c r="AP56" s="127" t="s">
        <v>186</v>
      </c>
      <c r="AQ56" s="199">
        <f t="shared" si="15"/>
        <v>-6.4933317532861842E-2</v>
      </c>
      <c r="AR56" s="222">
        <v>0.05</v>
      </c>
      <c r="AS56" s="21">
        <f t="shared" si="14"/>
        <v>50</v>
      </c>
      <c r="AT56" s="136"/>
    </row>
    <row r="57" spans="1:51" x14ac:dyDescent="0.3">
      <c r="A57" t="s">
        <v>64</v>
      </c>
      <c r="B57" t="s">
        <v>85</v>
      </c>
      <c r="C57" t="s">
        <v>175</v>
      </c>
      <c r="D57" t="s">
        <v>394</v>
      </c>
      <c r="E57">
        <v>104</v>
      </c>
      <c r="F57" t="s">
        <v>186</v>
      </c>
      <c r="G57" s="59" t="s">
        <v>430</v>
      </c>
      <c r="H57">
        <v>5.3609999999999998</v>
      </c>
      <c r="I57" s="8">
        <v>30</v>
      </c>
      <c r="J57">
        <f t="shared" si="1"/>
        <v>0.03</v>
      </c>
      <c r="K57" s="81">
        <f t="shared" si="2"/>
        <v>3.2349948384357368E-3</v>
      </c>
      <c r="L57" s="81">
        <f t="shared" si="3"/>
        <v>3.3234994838435734E-2</v>
      </c>
      <c r="M57" s="106">
        <v>3.12</v>
      </c>
      <c r="N57" s="130">
        <f t="shared" si="4"/>
        <v>62.400000000000006</v>
      </c>
      <c r="O57" s="25">
        <v>1.5216307546758283</v>
      </c>
      <c r="P57" s="12">
        <f t="shared" si="5"/>
        <v>2.126005161564263</v>
      </c>
      <c r="Q57" s="12">
        <f t="shared" si="6"/>
        <v>0.97547443224102592</v>
      </c>
      <c r="T57" t="s">
        <v>64</v>
      </c>
      <c r="U57" t="s">
        <v>85</v>
      </c>
      <c r="V57" t="s">
        <v>175</v>
      </c>
      <c r="W57" t="s">
        <v>175</v>
      </c>
      <c r="X57">
        <v>76</v>
      </c>
      <c r="Y57" t="s">
        <v>186</v>
      </c>
      <c r="Z57">
        <v>5.1120000000000001</v>
      </c>
      <c r="AA57" s="10">
        <v>30</v>
      </c>
      <c r="AB57">
        <f t="shared" si="7"/>
        <v>0.03</v>
      </c>
      <c r="AC57" s="81">
        <f t="shared" si="8"/>
        <v>3.0847404614966403E-3</v>
      </c>
      <c r="AD57" s="25">
        <f t="shared" si="9"/>
        <v>3.3084740461496641E-2</v>
      </c>
      <c r="AE57" s="106">
        <v>2.98</v>
      </c>
      <c r="AF57" s="106">
        <f t="shared" si="0"/>
        <v>59.6</v>
      </c>
      <c r="AG57" s="25">
        <v>1.5216307546758283</v>
      </c>
      <c r="AH57" s="25">
        <f t="shared" si="10"/>
        <v>2.02725953850336</v>
      </c>
      <c r="AI57" s="12">
        <f t="shared" si="11"/>
        <v>0.97266802501318284</v>
      </c>
      <c r="AJ57" s="12"/>
      <c r="AK57" s="12"/>
      <c r="AL57" s="134"/>
      <c r="AM57" s="134"/>
      <c r="AO57" s="32" t="s">
        <v>64</v>
      </c>
      <c r="AP57" t="s">
        <v>186</v>
      </c>
      <c r="AQ57" s="53">
        <f t="shared" si="15"/>
        <v>6.2364605063179746E-3</v>
      </c>
      <c r="AR57" s="222">
        <v>0.05</v>
      </c>
      <c r="AS57" s="21">
        <f t="shared" si="14"/>
        <v>50</v>
      </c>
      <c r="AT57" s="136"/>
    </row>
    <row r="58" spans="1:51" x14ac:dyDescent="0.3">
      <c r="A58" t="s">
        <v>7</v>
      </c>
      <c r="B58" t="s">
        <v>28</v>
      </c>
      <c r="C58" t="s">
        <v>176</v>
      </c>
      <c r="D58" t="s">
        <v>395</v>
      </c>
      <c r="E58">
        <v>105</v>
      </c>
      <c r="F58" t="s">
        <v>186</v>
      </c>
      <c r="G58" s="59">
        <v>19</v>
      </c>
      <c r="H58">
        <v>5.1680000000000001</v>
      </c>
      <c r="I58" s="8">
        <v>25</v>
      </c>
      <c r="J58">
        <f t="shared" si="1"/>
        <v>2.5000000000000001E-2</v>
      </c>
      <c r="K58" s="81">
        <f t="shared" si="2"/>
        <v>3.153729271347599E-3</v>
      </c>
      <c r="L58" s="81">
        <f t="shared" si="3"/>
        <v>2.81537292713476E-2</v>
      </c>
      <c r="M58" s="107">
        <v>20.8</v>
      </c>
      <c r="N58" s="130">
        <f t="shared" si="4"/>
        <v>416</v>
      </c>
      <c r="O58" s="25">
        <v>1.5656928467890334</v>
      </c>
      <c r="P58" s="12">
        <f t="shared" si="5"/>
        <v>2.0142707286524013</v>
      </c>
      <c r="Q58" s="12">
        <f t="shared" si="6"/>
        <v>5.8144872038706525</v>
      </c>
      <c r="T58" t="s">
        <v>7</v>
      </c>
      <c r="U58" t="s">
        <v>28</v>
      </c>
      <c r="V58" t="s">
        <v>176</v>
      </c>
      <c r="W58" t="s">
        <v>176</v>
      </c>
      <c r="X58">
        <v>77</v>
      </c>
      <c r="Y58" t="s">
        <v>186</v>
      </c>
      <c r="Z58">
        <v>5.2569999999999997</v>
      </c>
      <c r="AA58">
        <v>25</v>
      </c>
      <c r="AB58">
        <f t="shared" si="7"/>
        <v>2.5000000000000001E-2</v>
      </c>
      <c r="AC58" s="81">
        <f t="shared" si="8"/>
        <v>3.2080407855019982E-3</v>
      </c>
      <c r="AD58" s="25">
        <f t="shared" si="9"/>
        <v>2.8208040785502E-2</v>
      </c>
      <c r="AE58" s="107">
        <v>21</v>
      </c>
      <c r="AF58" s="106">
        <f t="shared" si="0"/>
        <v>420</v>
      </c>
      <c r="AG58" s="25">
        <v>1.5656928467890334</v>
      </c>
      <c r="AH58" s="25">
        <f t="shared" si="10"/>
        <v>2.0489592144980016</v>
      </c>
      <c r="AI58" s="12">
        <f t="shared" si="11"/>
        <v>5.7821439519543913</v>
      </c>
      <c r="AJ58" s="12"/>
      <c r="AK58" s="12"/>
      <c r="AL58" s="134"/>
      <c r="AM58" s="134"/>
      <c r="AO58" s="32" t="s">
        <v>7</v>
      </c>
      <c r="AP58" t="s">
        <v>186</v>
      </c>
      <c r="AQ58" s="53">
        <f t="shared" si="15"/>
        <v>7.1873893147247098E-2</v>
      </c>
      <c r="AR58" s="197">
        <f t="shared" si="13"/>
        <v>7.1873893147247098E-2</v>
      </c>
      <c r="AS58" s="21">
        <f t="shared" si="14"/>
        <v>71.873893147247102</v>
      </c>
      <c r="AT58" s="136"/>
    </row>
    <row r="59" spans="1:51" x14ac:dyDescent="0.3">
      <c r="A59" t="s">
        <v>8</v>
      </c>
      <c r="B59" t="s">
        <v>29</v>
      </c>
      <c r="C59" t="s">
        <v>177</v>
      </c>
      <c r="D59" t="s">
        <v>396</v>
      </c>
      <c r="E59">
        <v>106</v>
      </c>
      <c r="F59" t="s">
        <v>186</v>
      </c>
      <c r="G59" s="59" t="s">
        <v>332</v>
      </c>
      <c r="H59">
        <v>5.1609999999999996</v>
      </c>
      <c r="I59" s="8">
        <v>25</v>
      </c>
      <c r="J59">
        <f t="shared" si="1"/>
        <v>2.5000000000000001E-2</v>
      </c>
      <c r="K59" s="81">
        <f t="shared" si="2"/>
        <v>3.1055105524283428E-3</v>
      </c>
      <c r="L59" s="81">
        <f t="shared" si="3"/>
        <v>2.8105510552428343E-2</v>
      </c>
      <c r="M59" s="107">
        <v>22.2</v>
      </c>
      <c r="N59" s="130">
        <f t="shared" si="4"/>
        <v>444</v>
      </c>
      <c r="O59" s="25">
        <v>1.5108375068999622</v>
      </c>
      <c r="P59" s="12">
        <f t="shared" si="5"/>
        <v>2.0554894475716567</v>
      </c>
      <c r="Q59" s="12">
        <f t="shared" si="6"/>
        <v>6.0709855261094239</v>
      </c>
      <c r="T59" t="s">
        <v>8</v>
      </c>
      <c r="U59" t="s">
        <v>29</v>
      </c>
      <c r="V59" t="s">
        <v>177</v>
      </c>
      <c r="W59" t="s">
        <v>177</v>
      </c>
      <c r="X59">
        <v>78</v>
      </c>
      <c r="Y59" t="s">
        <v>186</v>
      </c>
      <c r="Z59">
        <v>6.2489999999999997</v>
      </c>
      <c r="AA59">
        <v>30</v>
      </c>
      <c r="AB59">
        <f t="shared" si="7"/>
        <v>0.03</v>
      </c>
      <c r="AC59" s="81">
        <f t="shared" si="8"/>
        <v>3.7601890025430566E-3</v>
      </c>
      <c r="AD59" s="25">
        <f t="shared" si="9"/>
        <v>3.3760189002543059E-2</v>
      </c>
      <c r="AE59" s="107">
        <v>22.8</v>
      </c>
      <c r="AF59" s="106">
        <f t="shared" si="0"/>
        <v>456</v>
      </c>
      <c r="AG59" s="25">
        <v>1.5108375068999622</v>
      </c>
      <c r="AH59" s="25">
        <f t="shared" si="10"/>
        <v>2.4888109974569432</v>
      </c>
      <c r="AI59" s="12">
        <f t="shared" si="11"/>
        <v>6.1855424943436121</v>
      </c>
      <c r="AJ59" s="12"/>
      <c r="AK59" s="12"/>
      <c r="AL59" s="134"/>
      <c r="AM59" s="134"/>
      <c r="AO59" s="112" t="s">
        <v>8</v>
      </c>
      <c r="AP59" s="127" t="s">
        <v>186</v>
      </c>
      <c r="AQ59" s="199">
        <f t="shared" si="15"/>
        <v>-0.25457104052041835</v>
      </c>
      <c r="AR59" s="222">
        <v>0.05</v>
      </c>
      <c r="AS59" s="21">
        <f t="shared" si="14"/>
        <v>50</v>
      </c>
      <c r="AT59" s="136"/>
    </row>
    <row r="60" spans="1:51" x14ac:dyDescent="0.3">
      <c r="A60" t="s">
        <v>12</v>
      </c>
      <c r="B60" t="s">
        <v>33</v>
      </c>
      <c r="C60" t="s">
        <v>178</v>
      </c>
      <c r="D60" t="s">
        <v>397</v>
      </c>
      <c r="E60">
        <v>107</v>
      </c>
      <c r="F60" t="s">
        <v>186</v>
      </c>
      <c r="G60" s="59">
        <v>3</v>
      </c>
      <c r="H60">
        <v>5.1120000000000001</v>
      </c>
      <c r="I60" s="8">
        <v>25</v>
      </c>
      <c r="J60">
        <f t="shared" si="1"/>
        <v>2.5000000000000001E-2</v>
      </c>
      <c r="K60" s="81">
        <f t="shared" si="2"/>
        <v>3.0915222465827093E-3</v>
      </c>
      <c r="L60" s="81">
        <f t="shared" si="3"/>
        <v>2.809152224658271E-2</v>
      </c>
      <c r="M60" s="106">
        <v>6.38</v>
      </c>
      <c r="N60" s="130">
        <f t="shared" si="4"/>
        <v>127.6</v>
      </c>
      <c r="O60" s="25">
        <v>1.5300946725861893</v>
      </c>
      <c r="P60" s="12">
        <f t="shared" si="5"/>
        <v>2.0204777534172909</v>
      </c>
      <c r="Q60" s="12">
        <f t="shared" si="6"/>
        <v>1.7740745883499212</v>
      </c>
      <c r="T60" t="s">
        <v>12</v>
      </c>
      <c r="U60" t="s">
        <v>33</v>
      </c>
      <c r="V60" t="s">
        <v>178</v>
      </c>
      <c r="W60" t="s">
        <v>178</v>
      </c>
      <c r="X60">
        <v>79</v>
      </c>
      <c r="Y60" t="s">
        <v>186</v>
      </c>
      <c r="Z60">
        <v>5.194</v>
      </c>
      <c r="AA60">
        <v>25</v>
      </c>
      <c r="AB60">
        <f t="shared" si="7"/>
        <v>2.5000000000000001E-2</v>
      </c>
      <c r="AC60" s="81">
        <f t="shared" si="8"/>
        <v>3.1411123921656087E-3</v>
      </c>
      <c r="AD60" s="25">
        <f t="shared" si="9"/>
        <v>2.8141112392165608E-2</v>
      </c>
      <c r="AE60" s="106">
        <v>5.9</v>
      </c>
      <c r="AF60" s="106">
        <f t="shared" si="0"/>
        <v>118</v>
      </c>
      <c r="AG60" s="25">
        <v>1.5300946725861893</v>
      </c>
      <c r="AH60" s="25">
        <f t="shared" si="10"/>
        <v>2.0528876078343914</v>
      </c>
      <c r="AI60" s="12">
        <f t="shared" si="11"/>
        <v>1.6175514185983739</v>
      </c>
      <c r="AJ60" s="12"/>
      <c r="AK60" s="12"/>
      <c r="AL60" s="134"/>
      <c r="AM60" s="134"/>
      <c r="AO60" s="32" t="s">
        <v>12</v>
      </c>
      <c r="AP60" t="s">
        <v>186</v>
      </c>
      <c r="AQ60" s="53">
        <f t="shared" si="15"/>
        <v>0.3478292661145494</v>
      </c>
      <c r="AR60" s="197">
        <f t="shared" si="13"/>
        <v>0.3478292661145494</v>
      </c>
      <c r="AS60" s="21">
        <f t="shared" si="14"/>
        <v>347.8292661145494</v>
      </c>
      <c r="AT60" s="136"/>
      <c r="AX60" s="1"/>
    </row>
    <row r="61" spans="1:51" x14ac:dyDescent="0.3">
      <c r="A61" t="s">
        <v>13</v>
      </c>
      <c r="B61" t="s">
        <v>34</v>
      </c>
      <c r="C61" t="s">
        <v>179</v>
      </c>
      <c r="D61" t="s">
        <v>398</v>
      </c>
      <c r="E61">
        <v>108</v>
      </c>
      <c r="F61" t="s">
        <v>186</v>
      </c>
      <c r="G61" s="59" t="s">
        <v>333</v>
      </c>
      <c r="H61">
        <v>5.0170000000000003</v>
      </c>
      <c r="I61" s="8">
        <v>25</v>
      </c>
      <c r="J61">
        <f t="shared" si="1"/>
        <v>2.5000000000000001E-2</v>
      </c>
      <c r="K61" s="81">
        <f t="shared" si="2"/>
        <v>3.0079631217052572E-3</v>
      </c>
      <c r="L61" s="81">
        <f t="shared" si="3"/>
        <v>2.8007963121705257E-2</v>
      </c>
      <c r="M61" s="106">
        <v>6.66</v>
      </c>
      <c r="N61" s="130">
        <f t="shared" si="4"/>
        <v>133.19999999999999</v>
      </c>
      <c r="O61" s="25">
        <v>1.4972164793004679</v>
      </c>
      <c r="P61" s="12">
        <f t="shared" si="5"/>
        <v>2.0090368782947432</v>
      </c>
      <c r="Q61" s="12">
        <f t="shared" si="6"/>
        <v>1.8569398740841927</v>
      </c>
      <c r="T61" t="s">
        <v>13</v>
      </c>
      <c r="U61" t="s">
        <v>34</v>
      </c>
      <c r="V61" t="s">
        <v>179</v>
      </c>
      <c r="W61" t="s">
        <v>179</v>
      </c>
      <c r="X61">
        <v>80</v>
      </c>
      <c r="Y61" t="s">
        <v>186</v>
      </c>
      <c r="Z61">
        <v>5.0140000000000002</v>
      </c>
      <c r="AA61">
        <v>25</v>
      </c>
      <c r="AB61">
        <f t="shared" si="7"/>
        <v>2.5000000000000001E-2</v>
      </c>
      <c r="AC61" s="81">
        <f t="shared" si="8"/>
        <v>3.0061644592844646E-3</v>
      </c>
      <c r="AD61" s="25">
        <f t="shared" si="9"/>
        <v>2.8006164459284465E-2</v>
      </c>
      <c r="AE61" s="106">
        <v>6.28</v>
      </c>
      <c r="AF61" s="106">
        <f t="shared" si="0"/>
        <v>125.60000000000001</v>
      </c>
      <c r="AG61" s="25">
        <v>1.4972164793004679</v>
      </c>
      <c r="AH61" s="25">
        <f t="shared" si="10"/>
        <v>2.0078355407155355</v>
      </c>
      <c r="AI61" s="12">
        <f t="shared" si="11"/>
        <v>1.7519234941087682</v>
      </c>
      <c r="AJ61" s="12"/>
      <c r="AK61" s="12"/>
      <c r="AL61" s="134"/>
      <c r="AM61" s="134"/>
      <c r="AO61" s="32" t="s">
        <v>13</v>
      </c>
      <c r="AP61" t="s">
        <v>186</v>
      </c>
      <c r="AQ61" s="53">
        <f t="shared" si="15"/>
        <v>0.23336973327872101</v>
      </c>
      <c r="AR61" s="197">
        <f t="shared" si="13"/>
        <v>0.23336973327872101</v>
      </c>
      <c r="AS61" s="21">
        <f t="shared" si="14"/>
        <v>233.36973327872101</v>
      </c>
      <c r="AT61" s="136"/>
    </row>
    <row r="62" spans="1:51" x14ac:dyDescent="0.3">
      <c r="A62" t="s">
        <v>17</v>
      </c>
      <c r="B62" t="s">
        <v>38</v>
      </c>
      <c r="C62" t="s">
        <v>180</v>
      </c>
      <c r="D62" t="s">
        <v>399</v>
      </c>
      <c r="E62">
        <v>109</v>
      </c>
      <c r="F62" t="s">
        <v>186</v>
      </c>
      <c r="G62" s="59">
        <v>53</v>
      </c>
      <c r="H62">
        <v>5.0789999999999997</v>
      </c>
      <c r="I62" s="8">
        <v>25</v>
      </c>
      <c r="J62">
        <f t="shared" si="1"/>
        <v>2.5000000000000001E-2</v>
      </c>
      <c r="K62" s="81">
        <f t="shared" si="2"/>
        <v>3.0439787438789863E-3</v>
      </c>
      <c r="L62" s="81">
        <f t="shared" si="3"/>
        <v>2.8043978743878987E-2</v>
      </c>
      <c r="M62" s="106">
        <v>8.52</v>
      </c>
      <c r="N62" s="130">
        <f t="shared" si="4"/>
        <v>170.39999999999998</v>
      </c>
      <c r="O62" s="25">
        <v>1.4957970265535032</v>
      </c>
      <c r="P62" s="12">
        <f t="shared" si="5"/>
        <v>2.0350212561210133</v>
      </c>
      <c r="Q62" s="12">
        <f t="shared" si="6"/>
        <v>2.3482280411486829</v>
      </c>
      <c r="T62" t="s">
        <v>17</v>
      </c>
      <c r="U62" t="s">
        <v>38</v>
      </c>
      <c r="V62" t="s">
        <v>180</v>
      </c>
      <c r="W62" t="s">
        <v>180</v>
      </c>
      <c r="X62">
        <v>81</v>
      </c>
      <c r="Y62" t="s">
        <v>186</v>
      </c>
      <c r="Z62">
        <v>6.2080000000000002</v>
      </c>
      <c r="AA62">
        <v>30</v>
      </c>
      <c r="AB62">
        <f t="shared" si="7"/>
        <v>0.03</v>
      </c>
      <c r="AC62" s="81">
        <f t="shared" si="8"/>
        <v>3.7206182402049126E-3</v>
      </c>
      <c r="AD62" s="25">
        <f t="shared" si="9"/>
        <v>3.3720618240204912E-2</v>
      </c>
      <c r="AE62" s="106">
        <v>8.43</v>
      </c>
      <c r="AF62" s="106">
        <f t="shared" si="0"/>
        <v>168.6</v>
      </c>
      <c r="AG62" s="25">
        <v>1.4957970265535032</v>
      </c>
      <c r="AH62" s="25">
        <f t="shared" si="10"/>
        <v>2.4873817597950878</v>
      </c>
      <c r="AI62" s="12">
        <f t="shared" si="11"/>
        <v>2.2856548709945139</v>
      </c>
      <c r="AJ62" s="12"/>
      <c r="AK62" s="12"/>
      <c r="AL62" s="134"/>
      <c r="AM62" s="134"/>
      <c r="AO62" s="32" t="s">
        <v>17</v>
      </c>
      <c r="AP62" t="s">
        <v>186</v>
      </c>
      <c r="AQ62" s="53">
        <f t="shared" si="15"/>
        <v>0.13905148923148658</v>
      </c>
      <c r="AR62" s="197">
        <f t="shared" si="13"/>
        <v>0.13905148923148658</v>
      </c>
      <c r="AS62" s="21">
        <f t="shared" si="14"/>
        <v>139.05148923148658</v>
      </c>
      <c r="AT62" s="136"/>
      <c r="AV62" s="228"/>
      <c r="AX62" s="25"/>
    </row>
    <row r="63" spans="1:51" x14ac:dyDescent="0.3">
      <c r="A63" t="s">
        <v>23</v>
      </c>
      <c r="B63" t="s">
        <v>39</v>
      </c>
      <c r="C63" t="s">
        <v>181</v>
      </c>
      <c r="D63" t="s">
        <v>400</v>
      </c>
      <c r="E63">
        <v>110</v>
      </c>
      <c r="F63" t="s">
        <v>186</v>
      </c>
      <c r="G63" s="59">
        <v>33</v>
      </c>
      <c r="H63">
        <v>5.1079999999999997</v>
      </c>
      <c r="I63" s="8">
        <v>25</v>
      </c>
      <c r="J63">
        <f t="shared" si="1"/>
        <v>2.5000000000000001E-2</v>
      </c>
      <c r="K63" s="81">
        <f t="shared" si="2"/>
        <v>3.0843229558573178E-3</v>
      </c>
      <c r="L63" s="81">
        <f t="shared" si="3"/>
        <v>2.8084322955857319E-2</v>
      </c>
      <c r="M63" s="106">
        <v>6.05</v>
      </c>
      <c r="N63" s="130">
        <f t="shared" si="4"/>
        <v>121</v>
      </c>
      <c r="O63" s="25">
        <v>1.5241181713181773</v>
      </c>
      <c r="P63" s="12">
        <f t="shared" si="5"/>
        <v>2.0236770441426817</v>
      </c>
      <c r="Q63" s="12">
        <f t="shared" si="6"/>
        <v>1.679222031743886</v>
      </c>
      <c r="T63" t="s">
        <v>23</v>
      </c>
      <c r="U63" t="s">
        <v>39</v>
      </c>
      <c r="V63" t="s">
        <v>181</v>
      </c>
      <c r="W63" t="s">
        <v>181</v>
      </c>
      <c r="X63">
        <v>82</v>
      </c>
      <c r="Y63" t="s">
        <v>186</v>
      </c>
      <c r="Z63">
        <v>6.1369999999999996</v>
      </c>
      <c r="AA63">
        <v>30</v>
      </c>
      <c r="AB63">
        <f t="shared" si="7"/>
        <v>0.03</v>
      </c>
      <c r="AC63" s="81">
        <f t="shared" si="8"/>
        <v>3.7056558300893423E-3</v>
      </c>
      <c r="AD63" s="25">
        <f t="shared" si="9"/>
        <v>3.3705655830089339E-2</v>
      </c>
      <c r="AE63" s="106">
        <v>5.64</v>
      </c>
      <c r="AF63" s="106">
        <f t="shared" si="0"/>
        <v>112.8</v>
      </c>
      <c r="AG63" s="25">
        <v>1.5241181713181773</v>
      </c>
      <c r="AH63" s="25">
        <f t="shared" si="10"/>
        <v>2.4313441699106573</v>
      </c>
      <c r="AI63" s="12">
        <f t="shared" si="11"/>
        <v>1.5637432267657057</v>
      </c>
      <c r="AJ63" s="12"/>
      <c r="AK63" s="12"/>
      <c r="AL63" s="134"/>
      <c r="AM63" s="134"/>
      <c r="AO63" s="32" t="s">
        <v>23</v>
      </c>
      <c r="AP63" t="s">
        <v>186</v>
      </c>
      <c r="AQ63" s="53">
        <f t="shared" si="15"/>
        <v>0.25661956661817847</v>
      </c>
      <c r="AR63" s="197">
        <f t="shared" si="13"/>
        <v>0.25661956661817847</v>
      </c>
      <c r="AS63" s="21">
        <f t="shared" si="14"/>
        <v>256.61956661817845</v>
      </c>
      <c r="AT63" s="136"/>
      <c r="AV63" s="228"/>
      <c r="AX63" s="25"/>
    </row>
    <row r="64" spans="1:51" x14ac:dyDescent="0.3">
      <c r="A64" t="s">
        <v>21</v>
      </c>
      <c r="B64" t="s">
        <v>43</v>
      </c>
      <c r="C64" t="s">
        <v>182</v>
      </c>
      <c r="D64" t="s">
        <v>401</v>
      </c>
      <c r="E64">
        <v>111</v>
      </c>
      <c r="F64" t="s">
        <v>186</v>
      </c>
      <c r="G64" s="59" t="s">
        <v>431</v>
      </c>
      <c r="H64">
        <v>5.2549999999999999</v>
      </c>
      <c r="I64" s="8">
        <v>25</v>
      </c>
      <c r="J64">
        <f t="shared" si="1"/>
        <v>2.5000000000000001E-2</v>
      </c>
      <c r="K64" s="81">
        <f t="shared" si="2"/>
        <v>3.1950939288734417E-3</v>
      </c>
      <c r="L64" s="81">
        <f t="shared" si="3"/>
        <v>2.8195093928873444E-2</v>
      </c>
      <c r="M64" s="106">
        <v>3.75</v>
      </c>
      <c r="N64" s="130">
        <f t="shared" si="4"/>
        <v>75</v>
      </c>
      <c r="O64" s="25">
        <v>1.5510871945370068</v>
      </c>
      <c r="P64" s="12">
        <f t="shared" si="5"/>
        <v>2.0599060711265582</v>
      </c>
      <c r="Q64" s="12">
        <f t="shared" si="6"/>
        <v>1.0265672179455352</v>
      </c>
      <c r="T64" t="s">
        <v>21</v>
      </c>
      <c r="U64" t="s">
        <v>43</v>
      </c>
      <c r="V64" t="s">
        <v>182</v>
      </c>
      <c r="W64" t="s">
        <v>182</v>
      </c>
      <c r="X64">
        <v>83</v>
      </c>
      <c r="Y64" t="s">
        <v>186</v>
      </c>
      <c r="Z64">
        <v>4.4870000000000001</v>
      </c>
      <c r="AA64">
        <v>25</v>
      </c>
      <c r="AB64">
        <f t="shared" si="7"/>
        <v>2.5000000000000001E-2</v>
      </c>
      <c r="AC64" s="81">
        <f t="shared" si="8"/>
        <v>2.7281420473558764E-3</v>
      </c>
      <c r="AD64" s="25">
        <f t="shared" si="9"/>
        <v>2.7728142047355877E-2</v>
      </c>
      <c r="AE64" s="106">
        <v>3.18</v>
      </c>
      <c r="AF64" s="106">
        <f t="shared" si="0"/>
        <v>63.6</v>
      </c>
      <c r="AG64" s="25">
        <v>1.5510871945370068</v>
      </c>
      <c r="AH64" s="25">
        <f t="shared" si="10"/>
        <v>1.7588579526441233</v>
      </c>
      <c r="AI64" s="12">
        <f t="shared" si="11"/>
        <v>1.0026448307327589</v>
      </c>
      <c r="AJ64" s="12"/>
      <c r="AK64" s="12"/>
      <c r="AL64" s="134"/>
      <c r="AM64" s="134"/>
      <c r="AO64" s="32" t="s">
        <v>21</v>
      </c>
      <c r="AP64" t="s">
        <v>186</v>
      </c>
      <c r="AQ64" s="53">
        <f t="shared" si="15"/>
        <v>5.3160860472836191E-2</v>
      </c>
      <c r="AR64" s="197">
        <f t="shared" si="13"/>
        <v>5.3160860472836191E-2</v>
      </c>
      <c r="AS64" s="21">
        <f t="shared" si="14"/>
        <v>53.160860472836191</v>
      </c>
      <c r="AT64" s="136"/>
      <c r="AV64" s="228"/>
      <c r="AX64" s="25"/>
    </row>
    <row r="65" spans="1:51" ht="15" thickBot="1" x14ac:dyDescent="0.35">
      <c r="A65" t="s">
        <v>22</v>
      </c>
      <c r="B65" t="s">
        <v>44</v>
      </c>
      <c r="C65" t="s">
        <v>183</v>
      </c>
      <c r="D65" t="s">
        <v>402</v>
      </c>
      <c r="E65">
        <v>112</v>
      </c>
      <c r="F65" t="s">
        <v>186</v>
      </c>
      <c r="G65" s="59">
        <v>26</v>
      </c>
      <c r="H65">
        <v>5.274</v>
      </c>
      <c r="I65" s="8">
        <v>25</v>
      </c>
      <c r="J65">
        <f t="shared" si="1"/>
        <v>2.5000000000000001E-2</v>
      </c>
      <c r="K65" s="81">
        <f t="shared" si="2"/>
        <v>3.2177796827944417E-3</v>
      </c>
      <c r="L65" s="81">
        <f t="shared" si="3"/>
        <v>2.8217779682794444E-2</v>
      </c>
      <c r="M65" s="106">
        <v>4.3600000000000003</v>
      </c>
      <c r="N65" s="130">
        <f t="shared" si="4"/>
        <v>87.2</v>
      </c>
      <c r="O65" s="25">
        <v>1.5649002472495086</v>
      </c>
      <c r="P65" s="12">
        <f t="shared" si="5"/>
        <v>2.0562203172055584</v>
      </c>
      <c r="Q65" s="12">
        <f t="shared" si="6"/>
        <v>1.1966569767599922</v>
      </c>
      <c r="T65" t="s">
        <v>22</v>
      </c>
      <c r="U65" t="s">
        <v>44</v>
      </c>
      <c r="V65" t="s">
        <v>183</v>
      </c>
      <c r="W65" t="s">
        <v>183</v>
      </c>
      <c r="X65">
        <v>84</v>
      </c>
      <c r="Y65" t="s">
        <v>186</v>
      </c>
      <c r="Z65">
        <v>3.8140000000000001</v>
      </c>
      <c r="AA65">
        <v>20</v>
      </c>
      <c r="AB65">
        <f t="shared" si="7"/>
        <v>0.02</v>
      </c>
      <c r="AC65" s="81">
        <f t="shared" si="8"/>
        <v>2.3270025995786878E-3</v>
      </c>
      <c r="AD65" s="25">
        <f t="shared" si="9"/>
        <v>2.2327002599578687E-2</v>
      </c>
      <c r="AE65" s="106">
        <v>4.1900000000000004</v>
      </c>
      <c r="AF65" s="106">
        <f t="shared" si="0"/>
        <v>83.800000000000011</v>
      </c>
      <c r="AG65" s="25">
        <v>1.5649002472495086</v>
      </c>
      <c r="AH65" s="25">
        <f t="shared" si="10"/>
        <v>1.4869974004213122</v>
      </c>
      <c r="AI65" s="12">
        <f t="shared" si="11"/>
        <v>1.2582421578642851</v>
      </c>
      <c r="AJ65" s="12"/>
      <c r="AK65" s="12"/>
      <c r="AL65" s="134"/>
      <c r="AM65" s="134"/>
      <c r="AO65" s="113" t="s">
        <v>22</v>
      </c>
      <c r="AP65" s="114" t="s">
        <v>186</v>
      </c>
      <c r="AQ65" s="200">
        <f t="shared" si="15"/>
        <v>-0.13685595800953976</v>
      </c>
      <c r="AR65" s="222">
        <v>0.05</v>
      </c>
      <c r="AS65" s="21">
        <f t="shared" si="14"/>
        <v>50</v>
      </c>
      <c r="AT65" s="136"/>
      <c r="AV65" s="228"/>
      <c r="AX65" s="25"/>
    </row>
    <row r="66" spans="1:51" x14ac:dyDescent="0.3">
      <c r="A66" t="s">
        <v>434</v>
      </c>
      <c r="E66">
        <v>114</v>
      </c>
      <c r="M66" s="128" t="s">
        <v>468</v>
      </c>
      <c r="N66" s="131"/>
      <c r="T66" t="s">
        <v>434</v>
      </c>
      <c r="W66" t="s">
        <v>433</v>
      </c>
      <c r="X66">
        <v>113</v>
      </c>
      <c r="AA66">
        <v>25</v>
      </c>
      <c r="AE66" s="128" t="s">
        <v>468</v>
      </c>
      <c r="AF66" s="128"/>
      <c r="AL66" s="46"/>
      <c r="AR66" s="46"/>
      <c r="AS66" s="46"/>
      <c r="AT66" s="46"/>
      <c r="AV66" s="228"/>
      <c r="AX66" s="25"/>
    </row>
    <row r="67" spans="1:51" x14ac:dyDescent="0.3">
      <c r="AR67" s="46"/>
      <c r="AS67" s="46"/>
      <c r="AT67" s="46"/>
      <c r="AV67" s="228"/>
      <c r="AX67" s="25"/>
    </row>
    <row r="68" spans="1:51" x14ac:dyDescent="0.3">
      <c r="AV68" s="228"/>
      <c r="AX68" s="25"/>
    </row>
    <row r="70" spans="1:51" x14ac:dyDescent="0.3">
      <c r="AX70" s="25"/>
    </row>
    <row r="71" spans="1:51" x14ac:dyDescent="0.3">
      <c r="AY71" s="25"/>
    </row>
    <row r="72" spans="1:51" x14ac:dyDescent="0.3">
      <c r="AY72" s="25"/>
    </row>
    <row r="73" spans="1:51" x14ac:dyDescent="0.3">
      <c r="AY73" s="25"/>
    </row>
    <row r="74" spans="1:51" x14ac:dyDescent="0.3">
      <c r="AY74" s="25"/>
    </row>
    <row r="75" spans="1:51" x14ac:dyDescent="0.3">
      <c r="AY75" s="25"/>
    </row>
    <row r="76" spans="1:51" x14ac:dyDescent="0.3">
      <c r="AY76" s="25"/>
    </row>
  </sheetData>
  <mergeCells count="8">
    <mergeCell ref="AV52:AV53"/>
    <mergeCell ref="AV62:AV63"/>
    <mergeCell ref="AV64:AV68"/>
    <mergeCell ref="AV9:AV13"/>
    <mergeCell ref="AV14:AV15"/>
    <mergeCell ref="AV27:AV28"/>
    <mergeCell ref="AV29:AV33"/>
    <mergeCell ref="AV47:AV51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6639C-B361-474C-9C1F-1B2F86E90128}">
  <dimension ref="A1:BU50"/>
  <sheetViews>
    <sheetView workbookViewId="0">
      <selection activeCell="O6" sqref="O6"/>
    </sheetView>
  </sheetViews>
  <sheetFormatPr baseColWidth="10" defaultRowHeight="14.4" x14ac:dyDescent="0.3"/>
  <cols>
    <col min="4" max="4" width="26.109375" bestFit="1" customWidth="1"/>
    <col min="5" max="5" width="22.77734375" bestFit="1" customWidth="1"/>
  </cols>
  <sheetData>
    <row r="1" spans="1:73" ht="18" x14ac:dyDescent="0.35">
      <c r="A1" s="3" t="s">
        <v>438</v>
      </c>
    </row>
    <row r="2" spans="1:73" x14ac:dyDescent="0.3">
      <c r="A2" t="s">
        <v>439</v>
      </c>
      <c r="AY2" s="12">
        <f>MIN(AY9:AY18)</f>
        <v>0</v>
      </c>
    </row>
    <row r="3" spans="1:73" x14ac:dyDescent="0.3">
      <c r="A3" t="s">
        <v>440</v>
      </c>
      <c r="AY3" s="12"/>
    </row>
    <row r="4" spans="1:73" x14ac:dyDescent="0.3">
      <c r="A4" s="8" t="s">
        <v>442</v>
      </c>
      <c r="K4" s="12"/>
      <c r="N4" s="12"/>
    </row>
    <row r="5" spans="1:73" x14ac:dyDescent="0.3">
      <c r="A5" t="s">
        <v>443</v>
      </c>
    </row>
    <row r="6" spans="1:73" x14ac:dyDescent="0.3">
      <c r="A6" t="s">
        <v>450</v>
      </c>
    </row>
    <row r="7" spans="1:73" x14ac:dyDescent="0.3">
      <c r="A7" t="s">
        <v>451</v>
      </c>
    </row>
    <row r="9" spans="1:73" x14ac:dyDescent="0.3">
      <c r="A9" s="1" t="s">
        <v>2</v>
      </c>
      <c r="B9" s="1" t="s">
        <v>3</v>
      </c>
      <c r="C9" s="1" t="s">
        <v>89</v>
      </c>
      <c r="D9" s="1" t="s">
        <v>441</v>
      </c>
      <c r="E9" s="1" t="s">
        <v>469</v>
      </c>
      <c r="F9" s="1" t="s">
        <v>444</v>
      </c>
      <c r="G9" s="1" t="s">
        <v>445</v>
      </c>
      <c r="H9" s="1" t="s">
        <v>446</v>
      </c>
      <c r="I9" s="1" t="s">
        <v>447</v>
      </c>
      <c r="J9" s="1" t="s">
        <v>449</v>
      </c>
      <c r="K9" s="1" t="s">
        <v>527</v>
      </c>
      <c r="L9" s="1" t="s">
        <v>528</v>
      </c>
      <c r="M9" s="1" t="s">
        <v>529</v>
      </c>
      <c r="N9" s="1" t="s">
        <v>530</v>
      </c>
      <c r="O9" s="1" t="s">
        <v>524</v>
      </c>
      <c r="P9" s="1" t="s">
        <v>525</v>
      </c>
      <c r="Q9" s="1" t="s">
        <v>526</v>
      </c>
      <c r="R9" s="1"/>
      <c r="U9" s="228"/>
      <c r="Z9" s="228"/>
      <c r="AE9" s="228"/>
      <c r="AK9" s="228"/>
      <c r="AQ9" s="228"/>
      <c r="AW9" s="228"/>
      <c r="AY9" s="12"/>
      <c r="BC9" s="228"/>
      <c r="BI9" s="228"/>
      <c r="BO9" s="228"/>
      <c r="BU9" s="228"/>
    </row>
    <row r="10" spans="1:73" x14ac:dyDescent="0.3">
      <c r="A10" t="s">
        <v>4</v>
      </c>
      <c r="B10" t="s">
        <v>24</v>
      </c>
      <c r="C10" t="s">
        <v>25</v>
      </c>
      <c r="D10">
        <v>14.93</v>
      </c>
      <c r="E10" s="12">
        <v>2.7480000000000002</v>
      </c>
      <c r="F10" s="8">
        <v>7.8</v>
      </c>
      <c r="G10" s="8">
        <v>483.40000000000003</v>
      </c>
      <c r="H10" s="8">
        <v>61.699999999999996</v>
      </c>
      <c r="I10" s="206">
        <v>0.29633461902672237</v>
      </c>
      <c r="J10" s="8">
        <v>428.08</v>
      </c>
      <c r="K10" s="206">
        <v>61.99</v>
      </c>
      <c r="L10" s="8">
        <v>7.83</v>
      </c>
      <c r="M10" s="206">
        <f>1/L10</f>
        <v>0.1277139208173691</v>
      </c>
      <c r="N10" s="206">
        <f>J10/G10</f>
        <v>0.88556061232933381</v>
      </c>
      <c r="O10" s="12">
        <v>72.342330000000004</v>
      </c>
      <c r="P10" s="12">
        <v>1.5210727969348661</v>
      </c>
      <c r="Q10" s="12">
        <v>0.66417045924700036</v>
      </c>
      <c r="U10" s="228"/>
      <c r="Z10" s="228"/>
      <c r="AE10" s="228"/>
      <c r="AK10" s="228"/>
      <c r="AQ10" s="228"/>
      <c r="AW10" s="228"/>
      <c r="BC10" s="228"/>
      <c r="BI10" s="228"/>
      <c r="BO10" s="228"/>
      <c r="BU10" s="228"/>
    </row>
    <row r="11" spans="1:73" x14ac:dyDescent="0.3">
      <c r="A11" t="s">
        <v>5</v>
      </c>
      <c r="B11" t="s">
        <v>24</v>
      </c>
      <c r="C11" t="s">
        <v>26</v>
      </c>
      <c r="D11">
        <v>15.36</v>
      </c>
      <c r="E11" s="12">
        <v>2.4</v>
      </c>
      <c r="F11" s="8">
        <v>11.000000000000002</v>
      </c>
      <c r="G11" s="8">
        <v>475.6</v>
      </c>
      <c r="H11" s="8">
        <v>60.9</v>
      </c>
      <c r="I11" s="206">
        <v>0.60488146551724131</v>
      </c>
      <c r="J11" s="8">
        <v>433.32000000000005</v>
      </c>
      <c r="K11" s="8">
        <v>43.16</v>
      </c>
      <c r="L11" s="8">
        <v>7.81</v>
      </c>
      <c r="M11" s="206">
        <f t="shared" ref="M11:M49" si="0">1/L11</f>
        <v>0.12804097311139565</v>
      </c>
      <c r="N11" s="206">
        <f t="shared" ref="N11:N49" si="1">J11/G11</f>
        <v>0.91110176619007577</v>
      </c>
      <c r="O11" s="12">
        <v>50.367719999999998</v>
      </c>
      <c r="P11" s="12">
        <v>1.5249679897567221</v>
      </c>
      <c r="Q11" s="12">
        <v>0.68332632464255683</v>
      </c>
      <c r="U11" s="228"/>
      <c r="Z11" s="228"/>
      <c r="AE11" s="228"/>
      <c r="AK11" s="228"/>
      <c r="AQ11" s="228"/>
      <c r="AW11" s="228"/>
      <c r="BC11" s="228"/>
      <c r="BI11" s="228"/>
      <c r="BO11" s="228"/>
      <c r="BU11" s="228"/>
    </row>
    <row r="12" spans="1:73" x14ac:dyDescent="0.3">
      <c r="A12" t="s">
        <v>6</v>
      </c>
      <c r="B12" t="s">
        <v>24</v>
      </c>
      <c r="C12" t="s">
        <v>27</v>
      </c>
      <c r="D12">
        <v>14.234</v>
      </c>
      <c r="E12" s="12">
        <v>4.1459999999999999</v>
      </c>
      <c r="F12" s="8">
        <v>26.200000000000003</v>
      </c>
      <c r="G12" s="8">
        <v>514.50000000000011</v>
      </c>
      <c r="H12" s="8">
        <v>65.099999999999994</v>
      </c>
      <c r="I12" s="206">
        <v>2.3311837126259123</v>
      </c>
      <c r="J12" s="8">
        <v>345.53</v>
      </c>
      <c r="K12" s="8">
        <v>19.62</v>
      </c>
      <c r="L12" s="8">
        <v>7.9</v>
      </c>
      <c r="M12" s="206">
        <f t="shared" si="0"/>
        <v>0.12658227848101264</v>
      </c>
      <c r="N12" s="206">
        <f t="shared" si="1"/>
        <v>0.67158406219630684</v>
      </c>
      <c r="O12" s="12">
        <v>22.896540000000002</v>
      </c>
      <c r="P12" s="12">
        <v>1.5075949367088606</v>
      </c>
      <c r="Q12" s="12">
        <v>0.5036880466472301</v>
      </c>
      <c r="U12" s="228"/>
      <c r="Z12" s="228"/>
      <c r="AE12" s="228"/>
      <c r="AK12" s="228"/>
      <c r="AQ12" s="228"/>
      <c r="AW12" s="228"/>
      <c r="BC12" s="228"/>
      <c r="BI12" s="228"/>
      <c r="BO12" s="228"/>
      <c r="BU12" s="228"/>
    </row>
    <row r="13" spans="1:73" x14ac:dyDescent="0.3">
      <c r="A13" t="s">
        <v>7</v>
      </c>
      <c r="B13" t="s">
        <v>24</v>
      </c>
      <c r="C13" t="s">
        <v>28</v>
      </c>
      <c r="D13">
        <v>14.51</v>
      </c>
      <c r="E13" s="12">
        <v>3.3980000000000001</v>
      </c>
      <c r="F13" s="8">
        <v>27.999999999999996</v>
      </c>
      <c r="G13" s="8">
        <v>516.4</v>
      </c>
      <c r="H13" s="8">
        <v>62.6</v>
      </c>
      <c r="I13" s="206">
        <v>3.8235988497825524</v>
      </c>
      <c r="J13" s="8">
        <v>364.95</v>
      </c>
      <c r="K13" s="8">
        <v>18.45</v>
      </c>
      <c r="L13" s="8">
        <v>8.25</v>
      </c>
      <c r="M13" s="206">
        <f t="shared" si="0"/>
        <v>0.12121212121212122</v>
      </c>
      <c r="N13" s="206">
        <f t="shared" si="1"/>
        <v>0.70671959721146405</v>
      </c>
      <c r="O13" s="12">
        <v>21.53115</v>
      </c>
      <c r="P13" s="12">
        <v>1.4436363636363636</v>
      </c>
      <c r="Q13" s="12">
        <v>0.53003969790859806</v>
      </c>
      <c r="U13" s="228"/>
      <c r="Z13" s="228"/>
      <c r="AE13" s="228"/>
      <c r="AK13" s="228"/>
      <c r="AQ13" s="228"/>
      <c r="AW13" s="228"/>
      <c r="BC13" s="228"/>
      <c r="BI13" s="228"/>
      <c r="BO13" s="228"/>
      <c r="BU13" s="228"/>
    </row>
    <row r="14" spans="1:73" x14ac:dyDescent="0.3">
      <c r="A14" t="s">
        <v>8</v>
      </c>
      <c r="B14" t="s">
        <v>24</v>
      </c>
      <c r="C14" t="s">
        <v>29</v>
      </c>
      <c r="D14">
        <v>15.92</v>
      </c>
      <c r="E14" s="12">
        <v>2.5819999999999999</v>
      </c>
      <c r="F14" s="8">
        <v>25.099999999999998</v>
      </c>
      <c r="G14" s="8">
        <v>511.29999999999995</v>
      </c>
      <c r="H14" s="8">
        <v>62</v>
      </c>
      <c r="I14" s="206">
        <v>3.5961136718073123</v>
      </c>
      <c r="J14" s="8">
        <v>371</v>
      </c>
      <c r="K14" s="8">
        <v>20.36</v>
      </c>
      <c r="L14" s="8">
        <v>8.25</v>
      </c>
      <c r="M14" s="206">
        <f t="shared" si="0"/>
        <v>0.12121212121212122</v>
      </c>
      <c r="N14" s="206">
        <f t="shared" si="1"/>
        <v>0.72560140817523966</v>
      </c>
      <c r="O14" s="12">
        <v>23.760120000000001</v>
      </c>
      <c r="P14" s="12">
        <v>1.4436363636363636</v>
      </c>
      <c r="Q14" s="12">
        <v>0.54420105613142977</v>
      </c>
      <c r="U14" s="228"/>
      <c r="Z14" s="228"/>
      <c r="AE14" s="228"/>
      <c r="AK14" s="228"/>
      <c r="AQ14" s="228"/>
      <c r="AW14" s="228"/>
      <c r="BC14" s="228"/>
      <c r="BI14" s="228"/>
      <c r="BO14" s="228"/>
      <c r="BQ14" s="12"/>
      <c r="BU14" s="228"/>
    </row>
    <row r="15" spans="1:73" x14ac:dyDescent="0.3">
      <c r="A15" t="s">
        <v>9</v>
      </c>
      <c r="B15" t="s">
        <v>24</v>
      </c>
      <c r="C15" t="s">
        <v>40</v>
      </c>
      <c r="D15">
        <v>15.494</v>
      </c>
      <c r="E15" s="12">
        <v>2.6920000000000002</v>
      </c>
      <c r="F15" s="8">
        <v>20.2</v>
      </c>
      <c r="G15" s="8">
        <v>526</v>
      </c>
      <c r="H15" s="8">
        <v>66.699999999999989</v>
      </c>
      <c r="I15" s="206">
        <v>2.0616542999959937</v>
      </c>
      <c r="J15" s="8">
        <v>360.65</v>
      </c>
      <c r="K15" s="8">
        <v>26.03</v>
      </c>
      <c r="L15" s="8">
        <v>7.89</v>
      </c>
      <c r="M15" s="206">
        <f t="shared" si="0"/>
        <v>0.1267427122940431</v>
      </c>
      <c r="N15" s="206">
        <f t="shared" si="1"/>
        <v>0.6856463878326996</v>
      </c>
      <c r="O15" s="12">
        <v>30.377010000000002</v>
      </c>
      <c r="P15" s="12">
        <v>1.5095057034220534</v>
      </c>
      <c r="Q15" s="12">
        <v>0.51423479087452473</v>
      </c>
      <c r="U15" s="228"/>
      <c r="Z15" s="228"/>
      <c r="AE15" s="228"/>
      <c r="AK15" s="228"/>
      <c r="AQ15" s="228"/>
      <c r="AW15" s="228"/>
      <c r="BC15" s="228"/>
      <c r="BI15" s="228"/>
      <c r="BO15" s="228"/>
      <c r="BU15" s="228"/>
    </row>
    <row r="16" spans="1:73" x14ac:dyDescent="0.3">
      <c r="A16" t="s">
        <v>10</v>
      </c>
      <c r="B16" t="s">
        <v>24</v>
      </c>
      <c r="C16" t="s">
        <v>31</v>
      </c>
      <c r="D16">
        <v>15.584</v>
      </c>
      <c r="E16" s="12">
        <v>2.6539999999999999</v>
      </c>
      <c r="F16" s="8">
        <v>23.900000000000002</v>
      </c>
      <c r="G16" s="8">
        <v>522.5</v>
      </c>
      <c r="H16" s="8">
        <v>66.3</v>
      </c>
      <c r="I16" s="206">
        <v>2.79924024640657</v>
      </c>
      <c r="J16" s="8">
        <v>352.43</v>
      </c>
      <c r="K16" s="8">
        <v>21.88</v>
      </c>
      <c r="L16" s="8">
        <v>7.88</v>
      </c>
      <c r="M16" s="206">
        <f t="shared" si="0"/>
        <v>0.12690355329949238</v>
      </c>
      <c r="N16" s="206">
        <f t="shared" si="1"/>
        <v>0.67450717703349283</v>
      </c>
      <c r="O16" s="12">
        <v>25.53396</v>
      </c>
      <c r="P16" s="12">
        <v>1.5114213197969542</v>
      </c>
      <c r="Q16" s="12">
        <v>0.5058803827751196</v>
      </c>
      <c r="U16" s="228"/>
      <c r="Z16" s="228"/>
      <c r="AE16" s="228"/>
      <c r="AK16" s="228"/>
      <c r="AQ16" s="228"/>
      <c r="AW16" s="228"/>
      <c r="BC16" s="228"/>
      <c r="BI16" s="228"/>
      <c r="BO16" s="228"/>
      <c r="BU16" s="228"/>
    </row>
    <row r="17" spans="1:73" x14ac:dyDescent="0.3">
      <c r="A17" t="s">
        <v>11</v>
      </c>
      <c r="B17" t="s">
        <v>24</v>
      </c>
      <c r="C17" t="s">
        <v>32</v>
      </c>
      <c r="D17">
        <v>15.86</v>
      </c>
      <c r="E17" s="12">
        <v>3.0859999999999999</v>
      </c>
      <c r="F17" s="8">
        <v>21.6</v>
      </c>
      <c r="G17" s="8">
        <v>501.59999999999991</v>
      </c>
      <c r="H17" s="8">
        <v>60.1</v>
      </c>
      <c r="I17" s="206">
        <v>6.1370787494020966</v>
      </c>
      <c r="J17" s="8">
        <v>378.65999999999997</v>
      </c>
      <c r="K17" s="8">
        <v>23.23</v>
      </c>
      <c r="L17" s="8">
        <v>8.35</v>
      </c>
      <c r="M17" s="206">
        <f t="shared" si="0"/>
        <v>0.11976047904191617</v>
      </c>
      <c r="N17" s="206">
        <f t="shared" si="1"/>
        <v>0.75490430622009574</v>
      </c>
      <c r="O17" s="12">
        <v>27.10941</v>
      </c>
      <c r="P17" s="12">
        <v>1.4263473053892215</v>
      </c>
      <c r="Q17" s="12">
        <v>0.56617822966507181</v>
      </c>
      <c r="U17" s="228"/>
      <c r="Z17" s="228"/>
      <c r="AE17" s="228"/>
      <c r="AK17" s="228"/>
      <c r="AQ17" s="228"/>
      <c r="AW17" s="228"/>
      <c r="BC17" s="228"/>
      <c r="BI17" s="228"/>
      <c r="BO17" s="228"/>
      <c r="BU17" s="228"/>
    </row>
    <row r="18" spans="1:73" x14ac:dyDescent="0.3">
      <c r="A18" t="s">
        <v>12</v>
      </c>
      <c r="B18" t="s">
        <v>24</v>
      </c>
      <c r="C18" t="s">
        <v>33</v>
      </c>
      <c r="D18">
        <v>14.814</v>
      </c>
      <c r="E18" s="12">
        <v>1.998</v>
      </c>
      <c r="F18" s="8">
        <v>19.7</v>
      </c>
      <c r="G18" s="8">
        <v>497.2</v>
      </c>
      <c r="H18" s="8">
        <v>59.500000000000007</v>
      </c>
      <c r="I18" s="206">
        <v>6.9407432857082973</v>
      </c>
      <c r="J18" s="8">
        <v>382.83</v>
      </c>
      <c r="K18" s="8">
        <v>25.28</v>
      </c>
      <c r="L18" s="8">
        <v>8.36</v>
      </c>
      <c r="M18" s="206">
        <f t="shared" si="0"/>
        <v>0.11961722488038279</v>
      </c>
      <c r="N18" s="206">
        <f t="shared" si="1"/>
        <v>0.76997184231697502</v>
      </c>
      <c r="O18" s="12">
        <v>29.501760000000001</v>
      </c>
      <c r="P18" s="12">
        <v>1.4246411483253589</v>
      </c>
      <c r="Q18" s="12">
        <v>0.57747888173773121</v>
      </c>
      <c r="U18" s="228"/>
      <c r="Z18" s="228"/>
      <c r="AE18" s="228"/>
      <c r="AK18" s="228"/>
      <c r="AQ18" s="228"/>
      <c r="AW18" s="228"/>
      <c r="BC18" s="228"/>
      <c r="BI18" s="228"/>
      <c r="BO18" s="228"/>
      <c r="BU18" s="228"/>
    </row>
    <row r="19" spans="1:73" x14ac:dyDescent="0.3">
      <c r="A19" t="s">
        <v>13</v>
      </c>
      <c r="B19" t="s">
        <v>24</v>
      </c>
      <c r="C19" t="s">
        <v>34</v>
      </c>
      <c r="D19">
        <v>14.593999999999999</v>
      </c>
      <c r="E19" s="12">
        <v>2.476</v>
      </c>
      <c r="F19" s="8">
        <v>18.500000000000004</v>
      </c>
      <c r="G19" s="8">
        <v>495</v>
      </c>
      <c r="H19" s="8">
        <v>59.699999999999996</v>
      </c>
      <c r="I19" s="206">
        <v>5.9115649794672338</v>
      </c>
      <c r="J19" s="8">
        <v>385.40999999999997</v>
      </c>
      <c r="K19" s="8">
        <v>26.71</v>
      </c>
      <c r="L19" s="8">
        <v>8.2899999999999991</v>
      </c>
      <c r="M19" s="206">
        <f t="shared" si="0"/>
        <v>0.12062726176115804</v>
      </c>
      <c r="N19" s="206">
        <f t="shared" si="1"/>
        <v>0.77860606060606052</v>
      </c>
      <c r="O19" s="12">
        <v>31.170570000000001</v>
      </c>
      <c r="P19" s="12">
        <v>1.4366706875753923</v>
      </c>
      <c r="Q19" s="12">
        <v>0.58395454545454539</v>
      </c>
    </row>
    <row r="20" spans="1:73" x14ac:dyDescent="0.3">
      <c r="A20" t="s">
        <v>14</v>
      </c>
      <c r="B20" t="s">
        <v>24</v>
      </c>
      <c r="C20" t="s">
        <v>35</v>
      </c>
      <c r="D20">
        <v>15.346</v>
      </c>
      <c r="E20" s="12">
        <v>2.1539999999999999</v>
      </c>
      <c r="F20" s="8">
        <v>11.299999999999999</v>
      </c>
      <c r="G20" s="8">
        <v>488.9</v>
      </c>
      <c r="H20" s="8">
        <v>61.2</v>
      </c>
      <c r="I20" s="206">
        <v>1.1359081778021456</v>
      </c>
      <c r="J20" s="8">
        <v>420.77</v>
      </c>
      <c r="K20" s="8">
        <v>43.42</v>
      </c>
      <c r="L20" s="8">
        <v>8</v>
      </c>
      <c r="M20" s="206">
        <f t="shared" si="0"/>
        <v>0.125</v>
      </c>
      <c r="N20" s="206">
        <f t="shared" si="1"/>
        <v>0.86064634894661485</v>
      </c>
      <c r="O20" s="12">
        <v>50.671140000000001</v>
      </c>
      <c r="P20" s="12">
        <v>1.48875</v>
      </c>
      <c r="Q20" s="12">
        <v>0.64548476170996116</v>
      </c>
    </row>
    <row r="21" spans="1:73" x14ac:dyDescent="0.3">
      <c r="A21" t="s">
        <v>15</v>
      </c>
      <c r="B21" t="s">
        <v>24</v>
      </c>
      <c r="C21" t="s">
        <v>36</v>
      </c>
      <c r="D21">
        <v>14.432</v>
      </c>
      <c r="E21" s="12">
        <v>2.516</v>
      </c>
      <c r="F21" s="8">
        <v>18.000000000000007</v>
      </c>
      <c r="G21" s="8">
        <v>490.09999999999991</v>
      </c>
      <c r="H21" s="8">
        <v>63.5</v>
      </c>
      <c r="I21" s="206">
        <v>2.188839360807401</v>
      </c>
      <c r="J21" s="8">
        <v>407.33</v>
      </c>
      <c r="K21" s="8">
        <v>27.22</v>
      </c>
      <c r="L21" s="8">
        <v>7.72</v>
      </c>
      <c r="M21" s="206">
        <f t="shared" si="0"/>
        <v>0.1295336787564767</v>
      </c>
      <c r="N21" s="206">
        <f t="shared" si="1"/>
        <v>0.83111609875535619</v>
      </c>
      <c r="O21" s="12">
        <v>31.765740000000001</v>
      </c>
      <c r="P21" s="12">
        <v>1.5427461139896375</v>
      </c>
      <c r="Q21" s="12">
        <v>0.62333707406651717</v>
      </c>
    </row>
    <row r="22" spans="1:73" x14ac:dyDescent="0.3">
      <c r="A22" t="s">
        <v>16</v>
      </c>
      <c r="B22" t="s">
        <v>24</v>
      </c>
      <c r="C22" t="s">
        <v>37</v>
      </c>
      <c r="D22">
        <v>15.374000000000001</v>
      </c>
      <c r="E22" s="12">
        <v>2.694</v>
      </c>
      <c r="F22" s="8">
        <v>22.400000000000002</v>
      </c>
      <c r="G22" s="8">
        <v>520.1</v>
      </c>
      <c r="H22" s="8">
        <v>62.400000000000006</v>
      </c>
      <c r="I22" s="206">
        <v>4.1612481439779652</v>
      </c>
      <c r="J22" s="8">
        <v>362.16</v>
      </c>
      <c r="K22" s="8">
        <v>23.23</v>
      </c>
      <c r="L22" s="8">
        <v>8.34</v>
      </c>
      <c r="M22" s="206">
        <f t="shared" si="0"/>
        <v>0.11990407673860912</v>
      </c>
      <c r="N22" s="206">
        <f t="shared" si="1"/>
        <v>0.69632762930205727</v>
      </c>
      <c r="O22" s="12">
        <v>27.10941</v>
      </c>
      <c r="P22" s="12">
        <v>1.4280575539568345</v>
      </c>
      <c r="Q22" s="12">
        <v>0.52224572197654295</v>
      </c>
    </row>
    <row r="23" spans="1:73" x14ac:dyDescent="0.3">
      <c r="A23" t="s">
        <v>17</v>
      </c>
      <c r="B23" t="s">
        <v>24</v>
      </c>
      <c r="C23" t="s">
        <v>38</v>
      </c>
      <c r="D23">
        <v>15.098000000000001</v>
      </c>
      <c r="E23" s="12">
        <v>2.3719999999999999</v>
      </c>
      <c r="F23" s="8">
        <v>24.900000000000002</v>
      </c>
      <c r="G23" s="8">
        <v>516.59999999999991</v>
      </c>
      <c r="H23" s="8">
        <v>61.3</v>
      </c>
      <c r="I23" s="206">
        <v>6.7457166740513701</v>
      </c>
      <c r="J23" s="8">
        <v>361.15000000000003</v>
      </c>
      <c r="K23" s="8">
        <v>20.74</v>
      </c>
      <c r="L23" s="8">
        <v>8.43</v>
      </c>
      <c r="M23" s="206">
        <f t="shared" si="0"/>
        <v>0.11862396204033215</v>
      </c>
      <c r="N23" s="206">
        <f t="shared" si="1"/>
        <v>0.69909020518776632</v>
      </c>
      <c r="O23" s="12">
        <v>24.203579999999999</v>
      </c>
      <c r="P23" s="12">
        <v>1.4128113879003559</v>
      </c>
      <c r="Q23" s="12">
        <v>0.52431765389082474</v>
      </c>
    </row>
    <row r="24" spans="1:73" x14ac:dyDescent="0.3">
      <c r="A24" t="s">
        <v>23</v>
      </c>
      <c r="B24" t="s">
        <v>24</v>
      </c>
      <c r="C24" t="s">
        <v>39</v>
      </c>
      <c r="D24">
        <v>15.086</v>
      </c>
      <c r="E24" s="12">
        <v>2.11</v>
      </c>
      <c r="F24" s="8">
        <v>23.700000000000003</v>
      </c>
      <c r="G24" s="8">
        <v>503.50000000000006</v>
      </c>
      <c r="H24" s="8">
        <v>59.3</v>
      </c>
      <c r="I24" s="206">
        <v>10.217537520514568</v>
      </c>
      <c r="J24" s="8">
        <v>367.21999999999997</v>
      </c>
      <c r="K24" s="8">
        <v>21.28</v>
      </c>
      <c r="L24" s="8">
        <v>8.49</v>
      </c>
      <c r="M24" s="206">
        <f t="shared" si="0"/>
        <v>0.11778563015312131</v>
      </c>
      <c r="N24" s="206">
        <f t="shared" si="1"/>
        <v>0.72933465739821235</v>
      </c>
      <c r="O24" s="12">
        <v>24.833760000000002</v>
      </c>
      <c r="P24" s="12">
        <v>1.4028268551236749</v>
      </c>
      <c r="Q24" s="12">
        <v>0.54700099304865923</v>
      </c>
    </row>
    <row r="25" spans="1:73" x14ac:dyDescent="0.3">
      <c r="A25" t="s">
        <v>18</v>
      </c>
      <c r="B25" t="s">
        <v>24</v>
      </c>
      <c r="C25" t="s">
        <v>30</v>
      </c>
      <c r="D25">
        <v>15.484</v>
      </c>
      <c r="E25" s="12">
        <v>2.69</v>
      </c>
      <c r="F25" s="8">
        <v>17.899999999999999</v>
      </c>
      <c r="G25" s="8">
        <v>504.2</v>
      </c>
      <c r="H25" s="8">
        <v>63.70000000000001</v>
      </c>
      <c r="I25" s="206">
        <v>2.2401396769969439</v>
      </c>
      <c r="J25" s="8">
        <v>380.29</v>
      </c>
      <c r="K25" s="8">
        <v>28.2</v>
      </c>
      <c r="L25" s="8">
        <v>7.92</v>
      </c>
      <c r="M25" s="206">
        <f t="shared" si="0"/>
        <v>0.12626262626262627</v>
      </c>
      <c r="N25" s="206">
        <f t="shared" si="1"/>
        <v>0.75424434748115832</v>
      </c>
      <c r="O25" s="12">
        <v>32.909399999999998</v>
      </c>
      <c r="P25" s="12">
        <v>1.5037878787878789</v>
      </c>
      <c r="Q25" s="12">
        <v>0.56568326061086871</v>
      </c>
    </row>
    <row r="26" spans="1:73" x14ac:dyDescent="0.3">
      <c r="A26" t="s">
        <v>19</v>
      </c>
      <c r="B26" t="s">
        <v>24</v>
      </c>
      <c r="C26" t="s">
        <v>41</v>
      </c>
      <c r="D26">
        <v>14.157999999999999</v>
      </c>
      <c r="E26" s="12">
        <v>2.7280000000000002</v>
      </c>
      <c r="F26" s="8">
        <v>22.5</v>
      </c>
      <c r="G26" s="8">
        <v>519.9</v>
      </c>
      <c r="H26" s="8">
        <v>63.5</v>
      </c>
      <c r="I26" s="206">
        <v>4.781142865493373</v>
      </c>
      <c r="J26" s="8">
        <v>355.26000000000005</v>
      </c>
      <c r="K26" s="8">
        <v>23.07</v>
      </c>
      <c r="L26" s="8">
        <v>8.19</v>
      </c>
      <c r="M26" s="206">
        <f t="shared" si="0"/>
        <v>0.12210012210012211</v>
      </c>
      <c r="N26" s="206">
        <f t="shared" si="1"/>
        <v>0.68332371609925002</v>
      </c>
      <c r="O26" s="12">
        <v>26.922690000000003</v>
      </c>
      <c r="P26" s="12">
        <v>1.4542124542124544</v>
      </c>
      <c r="Q26" s="12">
        <v>0.51249278707443757</v>
      </c>
    </row>
    <row r="27" spans="1:73" x14ac:dyDescent="0.3">
      <c r="A27" t="s">
        <v>20</v>
      </c>
      <c r="B27" t="s">
        <v>24</v>
      </c>
      <c r="C27" t="s">
        <v>42</v>
      </c>
      <c r="D27">
        <v>15.612</v>
      </c>
      <c r="E27" s="12">
        <v>2.48</v>
      </c>
      <c r="F27" s="8">
        <v>19</v>
      </c>
      <c r="G27" s="8">
        <v>492.8</v>
      </c>
      <c r="H27" s="8">
        <v>59.800000000000004</v>
      </c>
      <c r="I27" s="206">
        <v>7.6401791725198125</v>
      </c>
      <c r="J27" s="8">
        <v>382.71</v>
      </c>
      <c r="K27" s="8">
        <v>25.92</v>
      </c>
      <c r="L27" s="8">
        <v>8.24</v>
      </c>
      <c r="M27" s="206">
        <f t="shared" si="0"/>
        <v>0.12135922330097088</v>
      </c>
      <c r="N27" s="206">
        <f t="shared" si="1"/>
        <v>0.77660308441558434</v>
      </c>
      <c r="O27" s="12">
        <v>30.248640000000002</v>
      </c>
      <c r="P27" s="12">
        <v>1.4453883495145632</v>
      </c>
      <c r="Q27" s="12">
        <v>0.58245231331168823</v>
      </c>
    </row>
    <row r="28" spans="1:73" x14ac:dyDescent="0.3">
      <c r="A28" t="s">
        <v>21</v>
      </c>
      <c r="B28" t="s">
        <v>24</v>
      </c>
      <c r="C28" t="s">
        <v>43</v>
      </c>
      <c r="D28">
        <v>15.497999999999999</v>
      </c>
      <c r="E28" s="12">
        <v>2.6139999999999999</v>
      </c>
      <c r="F28" s="8">
        <v>15.100000000000001</v>
      </c>
      <c r="G28" s="8">
        <v>493.49999999999994</v>
      </c>
      <c r="H28" s="8">
        <v>60.5</v>
      </c>
      <c r="I28" s="206">
        <v>4.5961312026913372</v>
      </c>
      <c r="J28" s="8">
        <v>392.98</v>
      </c>
      <c r="K28" s="8">
        <v>32.69</v>
      </c>
      <c r="L28" s="8">
        <v>8.16</v>
      </c>
      <c r="M28" s="206">
        <f t="shared" si="0"/>
        <v>0.12254901960784313</v>
      </c>
      <c r="N28" s="206">
        <f t="shared" si="1"/>
        <v>0.79631205673758876</v>
      </c>
      <c r="O28" s="12">
        <v>38.149229999999996</v>
      </c>
      <c r="P28" s="12">
        <v>1.4595588235294117</v>
      </c>
      <c r="Q28" s="12">
        <v>0.59723404255319157</v>
      </c>
    </row>
    <row r="29" spans="1:73" x14ac:dyDescent="0.3">
      <c r="A29" t="s">
        <v>22</v>
      </c>
      <c r="B29" t="s">
        <v>24</v>
      </c>
      <c r="C29" t="s">
        <v>44</v>
      </c>
      <c r="D29">
        <v>15.804</v>
      </c>
      <c r="E29" s="12">
        <v>2.7120000000000002</v>
      </c>
      <c r="F29" s="8">
        <v>19.900000000000002</v>
      </c>
      <c r="G29" s="8">
        <v>507.29999999999995</v>
      </c>
      <c r="H29" s="8">
        <v>61.6</v>
      </c>
      <c r="I29" s="206">
        <v>3.807273584164637</v>
      </c>
      <c r="J29" s="8">
        <v>371.61</v>
      </c>
      <c r="K29" s="8">
        <v>25.49</v>
      </c>
      <c r="L29" s="8">
        <v>8.23</v>
      </c>
      <c r="M29" s="206">
        <f t="shared" si="0"/>
        <v>0.12150668286755771</v>
      </c>
      <c r="N29" s="206">
        <f t="shared" si="1"/>
        <v>0.73252513305736255</v>
      </c>
      <c r="O29" s="12">
        <v>29.746829999999999</v>
      </c>
      <c r="P29" s="12">
        <v>1.4471445929526123</v>
      </c>
      <c r="Q29" s="12">
        <v>0.54939384979302197</v>
      </c>
    </row>
    <row r="30" spans="1:73" x14ac:dyDescent="0.3">
      <c r="A30" t="s">
        <v>45</v>
      </c>
      <c r="B30" t="s">
        <v>65</v>
      </c>
      <c r="C30" t="s">
        <v>66</v>
      </c>
      <c r="D30">
        <v>14.641999999999999</v>
      </c>
      <c r="E30" s="12">
        <v>2.0680000000000001</v>
      </c>
      <c r="F30" s="8">
        <v>5.4</v>
      </c>
      <c r="G30" s="8">
        <v>456.8</v>
      </c>
      <c r="H30" s="8">
        <v>63.2</v>
      </c>
      <c r="I30" s="206">
        <v>0.91857660297019894</v>
      </c>
      <c r="J30" s="8">
        <v>446.96</v>
      </c>
      <c r="K30" s="8">
        <v>84.79</v>
      </c>
      <c r="L30" s="8">
        <v>7.23</v>
      </c>
      <c r="M30" s="206">
        <f t="shared" si="0"/>
        <v>0.13831258644536651</v>
      </c>
      <c r="N30" s="206">
        <f t="shared" si="1"/>
        <v>0.9784588441330998</v>
      </c>
      <c r="O30" s="12">
        <v>98.949930000000009</v>
      </c>
      <c r="P30" s="12">
        <v>1.6473029045643151</v>
      </c>
      <c r="Q30" s="12">
        <v>0.73384413309982488</v>
      </c>
    </row>
    <row r="31" spans="1:73" x14ac:dyDescent="0.3">
      <c r="A31" t="s">
        <v>46</v>
      </c>
      <c r="B31" t="s">
        <v>65</v>
      </c>
      <c r="C31" t="s">
        <v>67</v>
      </c>
      <c r="D31">
        <v>15.63</v>
      </c>
      <c r="E31" s="12">
        <v>2.302</v>
      </c>
      <c r="F31" s="8">
        <v>21.7</v>
      </c>
      <c r="G31" s="8">
        <v>525</v>
      </c>
      <c r="H31" s="8">
        <v>66.5</v>
      </c>
      <c r="I31" s="206">
        <v>2.5815352438943675</v>
      </c>
      <c r="J31" s="8">
        <v>350.51000000000005</v>
      </c>
      <c r="K31" s="8">
        <v>24.2</v>
      </c>
      <c r="L31" s="8">
        <v>7.9</v>
      </c>
      <c r="M31" s="206">
        <f t="shared" si="0"/>
        <v>0.12658227848101264</v>
      </c>
      <c r="N31" s="206">
        <f t="shared" si="1"/>
        <v>0.66763809523809536</v>
      </c>
      <c r="O31" s="12">
        <v>28.241399999999999</v>
      </c>
      <c r="P31" s="12">
        <v>1.5075949367088606</v>
      </c>
      <c r="Q31" s="12">
        <v>0.50072857142857152</v>
      </c>
    </row>
    <row r="32" spans="1:73" x14ac:dyDescent="0.3">
      <c r="A32" t="s">
        <v>47</v>
      </c>
      <c r="B32" t="s">
        <v>65</v>
      </c>
      <c r="C32" t="s">
        <v>68</v>
      </c>
      <c r="D32">
        <v>15.762</v>
      </c>
      <c r="E32" s="12">
        <v>2.3359999999999999</v>
      </c>
      <c r="F32" s="8">
        <v>23.2</v>
      </c>
      <c r="G32" s="8">
        <v>513.9</v>
      </c>
      <c r="H32" s="8">
        <v>64.400000000000006</v>
      </c>
      <c r="I32" s="206">
        <v>3.1718257354002857</v>
      </c>
      <c r="J32" s="8">
        <v>364.24999999999994</v>
      </c>
      <c r="K32" s="8">
        <v>22.15</v>
      </c>
      <c r="L32" s="8">
        <v>7.98</v>
      </c>
      <c r="M32" s="206">
        <f t="shared" si="0"/>
        <v>0.12531328320802004</v>
      </c>
      <c r="N32" s="206">
        <f t="shared" si="1"/>
        <v>0.70879548550301608</v>
      </c>
      <c r="O32" s="12">
        <v>25.849049999999998</v>
      </c>
      <c r="P32" s="12">
        <v>1.4924812030075187</v>
      </c>
      <c r="Q32" s="12">
        <v>0.53159661412726211</v>
      </c>
    </row>
    <row r="33" spans="1:17" x14ac:dyDescent="0.3">
      <c r="A33" t="s">
        <v>48</v>
      </c>
      <c r="B33" t="s">
        <v>65</v>
      </c>
      <c r="C33" t="s">
        <v>69</v>
      </c>
      <c r="D33">
        <v>14.718</v>
      </c>
      <c r="E33" s="12">
        <v>2.3620000000000001</v>
      </c>
      <c r="F33" s="8">
        <v>20.099999999999998</v>
      </c>
      <c r="G33" s="8">
        <v>503.69999999999993</v>
      </c>
      <c r="H33" s="8">
        <v>60.5</v>
      </c>
      <c r="I33" s="206">
        <v>3.2044286376990878</v>
      </c>
      <c r="J33" s="8">
        <v>373.19</v>
      </c>
      <c r="K33" s="8">
        <v>25.03</v>
      </c>
      <c r="L33" s="8">
        <v>8.32</v>
      </c>
      <c r="M33" s="206">
        <f t="shared" si="0"/>
        <v>0.12019230769230768</v>
      </c>
      <c r="N33" s="206">
        <f t="shared" si="1"/>
        <v>0.7408973595394085</v>
      </c>
      <c r="O33" s="12">
        <v>29.210010000000004</v>
      </c>
      <c r="P33" s="12">
        <v>1.4314903846153846</v>
      </c>
      <c r="Q33" s="12">
        <v>0.5556730196545564</v>
      </c>
    </row>
    <row r="34" spans="1:17" x14ac:dyDescent="0.3">
      <c r="A34" t="s">
        <v>49</v>
      </c>
      <c r="B34" t="s">
        <v>65</v>
      </c>
      <c r="C34" t="s">
        <v>70</v>
      </c>
      <c r="D34">
        <v>14.83</v>
      </c>
      <c r="E34" s="12">
        <v>2.3940000000000001</v>
      </c>
      <c r="F34" s="8">
        <v>19.099999999999998</v>
      </c>
      <c r="G34" s="8">
        <v>506.49999999999994</v>
      </c>
      <c r="H34" s="8">
        <v>61.3</v>
      </c>
      <c r="I34" s="206">
        <v>2.3806959797242309</v>
      </c>
      <c r="J34" s="8">
        <v>372.86</v>
      </c>
      <c r="K34" s="8">
        <v>26.56</v>
      </c>
      <c r="L34" s="8">
        <v>8.26</v>
      </c>
      <c r="M34" s="206">
        <f t="shared" si="0"/>
        <v>0.12106537530266344</v>
      </c>
      <c r="N34" s="206">
        <f t="shared" si="1"/>
        <v>0.73615004935834172</v>
      </c>
      <c r="O34" s="12">
        <v>30.995519999999999</v>
      </c>
      <c r="P34" s="12">
        <v>1.4418886198547216</v>
      </c>
      <c r="Q34" s="12">
        <v>0.55211253701875629</v>
      </c>
    </row>
    <row r="35" spans="1:17" x14ac:dyDescent="0.3">
      <c r="A35" t="s">
        <v>50</v>
      </c>
      <c r="B35" t="s">
        <v>65</v>
      </c>
      <c r="C35" t="s">
        <v>71</v>
      </c>
      <c r="D35">
        <v>14.212</v>
      </c>
      <c r="E35" s="12">
        <v>2.3519999999999999</v>
      </c>
      <c r="F35" s="8">
        <v>13.000000000000002</v>
      </c>
      <c r="G35" s="8">
        <v>458.80000000000007</v>
      </c>
      <c r="H35" s="8">
        <v>62.199999999999996</v>
      </c>
      <c r="I35" s="206">
        <v>2.7208113590263694</v>
      </c>
      <c r="J35" s="8">
        <v>429.35000000000008</v>
      </c>
      <c r="K35" s="8">
        <v>35.229999999999997</v>
      </c>
      <c r="L35" s="8">
        <v>7.38</v>
      </c>
      <c r="M35" s="206">
        <f t="shared" si="0"/>
        <v>0.13550135501355015</v>
      </c>
      <c r="N35" s="206">
        <f t="shared" si="1"/>
        <v>0.93581081081081086</v>
      </c>
      <c r="O35" s="12">
        <v>41.113409999999995</v>
      </c>
      <c r="P35" s="12">
        <v>1.6138211382113823</v>
      </c>
      <c r="Q35" s="12">
        <v>0.70185810810810811</v>
      </c>
    </row>
    <row r="36" spans="1:17" x14ac:dyDescent="0.3">
      <c r="A36" t="s">
        <v>51</v>
      </c>
      <c r="B36" t="s">
        <v>65</v>
      </c>
      <c r="C36" t="s">
        <v>72</v>
      </c>
      <c r="D36">
        <v>15.587999999999999</v>
      </c>
      <c r="E36" s="12">
        <v>2.84</v>
      </c>
      <c r="F36" s="8">
        <v>21.7</v>
      </c>
      <c r="G36" s="8">
        <v>537.20000000000005</v>
      </c>
      <c r="H36" s="8">
        <v>67.7</v>
      </c>
      <c r="I36" s="206">
        <v>3.51376284144302</v>
      </c>
      <c r="J36" s="8">
        <v>332.81</v>
      </c>
      <c r="K36" s="8">
        <v>24.75</v>
      </c>
      <c r="L36" s="8">
        <v>7.94</v>
      </c>
      <c r="M36" s="206">
        <f t="shared" si="0"/>
        <v>0.12594458438287154</v>
      </c>
      <c r="N36" s="206">
        <f t="shared" si="1"/>
        <v>0.61952717795979151</v>
      </c>
      <c r="O36" s="12">
        <v>28.88325</v>
      </c>
      <c r="P36" s="12">
        <v>1.5</v>
      </c>
      <c r="Q36" s="12">
        <v>0.46464538346984363</v>
      </c>
    </row>
    <row r="37" spans="1:17" x14ac:dyDescent="0.3">
      <c r="A37" t="s">
        <v>52</v>
      </c>
      <c r="B37" t="s">
        <v>65</v>
      </c>
      <c r="C37" t="s">
        <v>73</v>
      </c>
      <c r="D37">
        <v>15.21</v>
      </c>
      <c r="E37" s="12">
        <v>2.6240000000000001</v>
      </c>
      <c r="F37" s="8">
        <v>24.599999999999998</v>
      </c>
      <c r="G37" s="8">
        <v>529.59999999999991</v>
      </c>
      <c r="H37" s="8">
        <v>64.100000000000009</v>
      </c>
      <c r="I37" s="206">
        <v>4.7355168332993269</v>
      </c>
      <c r="J37" s="8">
        <v>344.13</v>
      </c>
      <c r="K37" s="8">
        <v>21.55</v>
      </c>
      <c r="L37" s="8">
        <v>8.26</v>
      </c>
      <c r="M37" s="206">
        <f t="shared" si="0"/>
        <v>0.12106537530266344</v>
      </c>
      <c r="N37" s="206">
        <f t="shared" si="1"/>
        <v>0.64979229607250766</v>
      </c>
      <c r="O37" s="12">
        <v>25.148850000000003</v>
      </c>
      <c r="P37" s="12">
        <v>1.4418886198547216</v>
      </c>
      <c r="Q37" s="12">
        <v>0.48734422205438077</v>
      </c>
    </row>
    <row r="38" spans="1:17" x14ac:dyDescent="0.3">
      <c r="A38" t="s">
        <v>53</v>
      </c>
      <c r="B38" t="s">
        <v>65</v>
      </c>
      <c r="C38" t="s">
        <v>74</v>
      </c>
      <c r="D38">
        <v>14.478</v>
      </c>
      <c r="E38" s="12">
        <v>2.86</v>
      </c>
      <c r="F38" s="8">
        <v>17.399999999999995</v>
      </c>
      <c r="G38" s="8">
        <v>505.29999999999995</v>
      </c>
      <c r="H38" s="8">
        <v>59.800000000000004</v>
      </c>
      <c r="I38" s="206">
        <v>4.3270994755419645</v>
      </c>
      <c r="J38" s="8">
        <v>371.58000000000004</v>
      </c>
      <c r="K38" s="8">
        <v>29.05</v>
      </c>
      <c r="L38" s="8">
        <v>8.4499999999999993</v>
      </c>
      <c r="M38" s="206">
        <f t="shared" si="0"/>
        <v>0.1183431952662722</v>
      </c>
      <c r="N38" s="206">
        <f t="shared" si="1"/>
        <v>0.7353651296259649</v>
      </c>
      <c r="O38" s="12">
        <v>33.901350000000001</v>
      </c>
      <c r="P38" s="12">
        <v>1.4094674556213018</v>
      </c>
      <c r="Q38" s="12">
        <v>0.55152384721947367</v>
      </c>
    </row>
    <row r="39" spans="1:17" x14ac:dyDescent="0.3">
      <c r="A39" t="s">
        <v>54</v>
      </c>
      <c r="B39" t="s">
        <v>65</v>
      </c>
      <c r="C39" t="s">
        <v>75</v>
      </c>
      <c r="D39">
        <v>15.718</v>
      </c>
      <c r="E39" s="12">
        <v>2.1680000000000001</v>
      </c>
      <c r="F39" s="8">
        <v>17.5</v>
      </c>
      <c r="G39" s="8">
        <v>496.2</v>
      </c>
      <c r="H39" s="8">
        <v>60.1</v>
      </c>
      <c r="I39" s="206">
        <v>4.3066179341936106</v>
      </c>
      <c r="J39" s="8">
        <v>369.09</v>
      </c>
      <c r="K39" s="8">
        <v>28.31</v>
      </c>
      <c r="L39" s="8">
        <v>8.25</v>
      </c>
      <c r="M39" s="206">
        <f t="shared" si="0"/>
        <v>0.12121212121212122</v>
      </c>
      <c r="N39" s="206">
        <f t="shared" si="1"/>
        <v>0.74383313180169286</v>
      </c>
      <c r="O39" s="12">
        <v>33.037770000000002</v>
      </c>
      <c r="P39" s="12">
        <v>1.4436363636363636</v>
      </c>
      <c r="Q39" s="12">
        <v>0.5578748488512697</v>
      </c>
    </row>
    <row r="40" spans="1:17" x14ac:dyDescent="0.3">
      <c r="A40" t="s">
        <v>55</v>
      </c>
      <c r="B40" t="s">
        <v>65</v>
      </c>
      <c r="C40" t="s">
        <v>76</v>
      </c>
      <c r="D40">
        <v>14.69</v>
      </c>
      <c r="E40" s="12">
        <v>2.206</v>
      </c>
      <c r="F40" s="8">
        <v>6.8000000000000007</v>
      </c>
      <c r="G40" s="8">
        <v>445.20000000000005</v>
      </c>
      <c r="H40" s="8">
        <v>61.699999999999996</v>
      </c>
      <c r="I40" s="206">
        <v>1.813079692964954</v>
      </c>
      <c r="J40" s="8">
        <v>443.27</v>
      </c>
      <c r="K40" s="8">
        <v>65.12</v>
      </c>
      <c r="L40" s="8">
        <v>7.21</v>
      </c>
      <c r="M40" s="206">
        <f t="shared" si="0"/>
        <v>0.13869625520110956</v>
      </c>
      <c r="N40" s="206">
        <f t="shared" si="1"/>
        <v>0.99566486972147339</v>
      </c>
      <c r="O40" s="12">
        <v>75.995040000000003</v>
      </c>
      <c r="P40" s="12">
        <v>1.6518723994452149</v>
      </c>
      <c r="Q40" s="12">
        <v>0.7467486522911051</v>
      </c>
    </row>
    <row r="41" spans="1:17" x14ac:dyDescent="0.3">
      <c r="A41" t="s">
        <v>56</v>
      </c>
      <c r="B41" t="s">
        <v>65</v>
      </c>
      <c r="C41" t="s">
        <v>77</v>
      </c>
      <c r="D41">
        <v>15.256</v>
      </c>
      <c r="E41" s="12">
        <v>2.5299999999999998</v>
      </c>
      <c r="F41" s="8">
        <v>25.3</v>
      </c>
      <c r="G41" s="8">
        <v>506.49999999999994</v>
      </c>
      <c r="H41" s="8">
        <v>66</v>
      </c>
      <c r="I41" s="206">
        <v>5.2142422653382274</v>
      </c>
      <c r="J41" s="8">
        <v>356.07999999999993</v>
      </c>
      <c r="K41" s="8">
        <v>20</v>
      </c>
      <c r="L41" s="8">
        <v>7.67</v>
      </c>
      <c r="M41" s="206">
        <f t="shared" si="0"/>
        <v>0.1303780964797914</v>
      </c>
      <c r="N41" s="206">
        <f t="shared" si="1"/>
        <v>0.70302073050345504</v>
      </c>
      <c r="O41" s="12">
        <v>23.34</v>
      </c>
      <c r="P41" s="12">
        <v>1.5528031290743156</v>
      </c>
      <c r="Q41" s="12">
        <v>0.52726554787759128</v>
      </c>
    </row>
    <row r="42" spans="1:17" x14ac:dyDescent="0.3">
      <c r="A42" t="s">
        <v>57</v>
      </c>
      <c r="B42" t="s">
        <v>65</v>
      </c>
      <c r="C42" t="s">
        <v>78</v>
      </c>
      <c r="D42">
        <v>14.744</v>
      </c>
      <c r="E42" s="12">
        <v>2.298</v>
      </c>
      <c r="F42" s="8">
        <v>24.4</v>
      </c>
      <c r="G42" s="8">
        <v>523.29999999999995</v>
      </c>
      <c r="H42" s="8">
        <v>65.199999999999989</v>
      </c>
      <c r="I42" s="206">
        <v>4.6331266488296823</v>
      </c>
      <c r="J42" s="8">
        <v>345.42</v>
      </c>
      <c r="K42" s="8">
        <v>21.48</v>
      </c>
      <c r="L42" s="8">
        <v>8.0299999999999994</v>
      </c>
      <c r="M42" s="206">
        <f t="shared" si="0"/>
        <v>0.12453300124533002</v>
      </c>
      <c r="N42" s="206">
        <f t="shared" si="1"/>
        <v>0.66008025988916497</v>
      </c>
      <c r="O42" s="12">
        <v>25.067160000000001</v>
      </c>
      <c r="P42" s="12">
        <v>1.4831880448318806</v>
      </c>
      <c r="Q42" s="12">
        <v>0.4950601949168737</v>
      </c>
    </row>
    <row r="43" spans="1:17" x14ac:dyDescent="0.3">
      <c r="A43" t="s">
        <v>58</v>
      </c>
      <c r="B43" t="s">
        <v>65</v>
      </c>
      <c r="C43" t="s">
        <v>79</v>
      </c>
      <c r="D43">
        <v>15.9</v>
      </c>
      <c r="E43" s="12">
        <v>2.1779999999999999</v>
      </c>
      <c r="F43" s="8">
        <v>20.299999999999997</v>
      </c>
      <c r="G43" s="8">
        <v>509.29999999999995</v>
      </c>
      <c r="H43" s="8">
        <v>60.199999999999996</v>
      </c>
      <c r="I43" s="206">
        <v>7.0454506180871821</v>
      </c>
      <c r="J43" s="8">
        <v>367.05</v>
      </c>
      <c r="K43" s="8">
        <v>25.04</v>
      </c>
      <c r="L43" s="8">
        <v>8.4600000000000009</v>
      </c>
      <c r="M43" s="206">
        <f t="shared" si="0"/>
        <v>0.11820330969267138</v>
      </c>
      <c r="N43" s="206">
        <f t="shared" si="1"/>
        <v>0.72069507166699398</v>
      </c>
      <c r="O43" s="12">
        <v>29.221679999999999</v>
      </c>
      <c r="P43" s="12">
        <v>1.4078014184397163</v>
      </c>
      <c r="Q43" s="12">
        <v>0.54052130375024543</v>
      </c>
    </row>
    <row r="44" spans="1:17" x14ac:dyDescent="0.3">
      <c r="A44" t="s">
        <v>59</v>
      </c>
      <c r="B44" t="s">
        <v>65</v>
      </c>
      <c r="C44" t="s">
        <v>80</v>
      </c>
      <c r="D44">
        <v>15.683999999999999</v>
      </c>
      <c r="E44" s="12">
        <v>2.556</v>
      </c>
      <c r="F44" s="8">
        <v>19.299999999999997</v>
      </c>
      <c r="G44" s="8">
        <v>505.2</v>
      </c>
      <c r="H44" s="8">
        <v>59.9</v>
      </c>
      <c r="I44" s="206">
        <v>5.1396522702688454</v>
      </c>
      <c r="J44" s="8">
        <v>372.06000000000006</v>
      </c>
      <c r="K44" s="8">
        <v>26.18</v>
      </c>
      <c r="L44" s="8">
        <v>8.43</v>
      </c>
      <c r="M44" s="206">
        <f t="shared" si="0"/>
        <v>0.11862396204033215</v>
      </c>
      <c r="N44" s="206">
        <f t="shared" si="1"/>
        <v>0.73646080760095023</v>
      </c>
      <c r="O44" s="12">
        <v>30.552060000000001</v>
      </c>
      <c r="P44" s="12">
        <v>1.4128113879003559</v>
      </c>
      <c r="Q44" s="12">
        <v>0.55234560570071267</v>
      </c>
    </row>
    <row r="45" spans="1:17" x14ac:dyDescent="0.3">
      <c r="A45" t="s">
        <v>60</v>
      </c>
      <c r="B45" t="s">
        <v>65</v>
      </c>
      <c r="C45" t="s">
        <v>81</v>
      </c>
      <c r="D45">
        <v>15.052</v>
      </c>
      <c r="E45" s="12">
        <v>2.2639999999999998</v>
      </c>
      <c r="F45" s="8">
        <v>13.600000000000001</v>
      </c>
      <c r="G45" s="8">
        <v>467.3</v>
      </c>
      <c r="H45" s="8">
        <v>63.2</v>
      </c>
      <c r="I45" s="206">
        <v>2.5513363328965335</v>
      </c>
      <c r="J45" s="8">
        <v>421.83</v>
      </c>
      <c r="K45" s="8">
        <v>34.35</v>
      </c>
      <c r="L45" s="8">
        <v>7.39</v>
      </c>
      <c r="M45" s="206">
        <f t="shared" si="0"/>
        <v>0.13531799729364005</v>
      </c>
      <c r="N45" s="206">
        <f t="shared" si="1"/>
        <v>0.90269634068050497</v>
      </c>
      <c r="O45" s="12">
        <v>40.086450000000006</v>
      </c>
      <c r="P45" s="12">
        <v>1.611637347767253</v>
      </c>
      <c r="Q45" s="12">
        <v>0.67702225551037876</v>
      </c>
    </row>
    <row r="46" spans="1:17" x14ac:dyDescent="0.3">
      <c r="A46" t="s">
        <v>61</v>
      </c>
      <c r="B46" t="s">
        <v>65</v>
      </c>
      <c r="C46" t="s">
        <v>82</v>
      </c>
      <c r="D46">
        <v>15.82</v>
      </c>
      <c r="E46" s="12">
        <v>2.12</v>
      </c>
      <c r="F46" s="8">
        <v>15.9</v>
      </c>
      <c r="G46" s="8">
        <v>472.40000000000003</v>
      </c>
      <c r="H46" s="8">
        <v>61.699999999999996</v>
      </c>
      <c r="I46" s="206">
        <v>4.7654652774750419</v>
      </c>
      <c r="J46" s="8">
        <v>413.1</v>
      </c>
      <c r="K46" s="8">
        <v>29.7</v>
      </c>
      <c r="L46" s="8">
        <v>7.66</v>
      </c>
      <c r="M46" s="206">
        <f t="shared" si="0"/>
        <v>0.13054830287206265</v>
      </c>
      <c r="N46" s="206">
        <f t="shared" si="1"/>
        <v>0.87447078746824725</v>
      </c>
      <c r="O46" s="12">
        <v>34.6599</v>
      </c>
      <c r="P46" s="12">
        <v>1.5548302872062663</v>
      </c>
      <c r="Q46" s="12">
        <v>0.65585309060118546</v>
      </c>
    </row>
    <row r="47" spans="1:17" x14ac:dyDescent="0.3">
      <c r="A47" t="s">
        <v>62</v>
      </c>
      <c r="B47" t="s">
        <v>65</v>
      </c>
      <c r="C47" t="s">
        <v>83</v>
      </c>
      <c r="D47">
        <v>15.888</v>
      </c>
      <c r="E47" s="12">
        <v>2.42</v>
      </c>
      <c r="F47" s="8">
        <v>24</v>
      </c>
      <c r="G47" s="8">
        <v>524.1</v>
      </c>
      <c r="H47" s="8">
        <v>65.599999999999994</v>
      </c>
      <c r="I47" s="206">
        <v>3.9263777476820501</v>
      </c>
      <c r="J47" s="8">
        <v>347.63</v>
      </c>
      <c r="K47" s="8">
        <v>21.87</v>
      </c>
      <c r="L47" s="8">
        <v>7.98</v>
      </c>
      <c r="M47" s="206">
        <f t="shared" si="0"/>
        <v>0.12531328320802004</v>
      </c>
      <c r="N47" s="206">
        <f t="shared" si="1"/>
        <v>0.66328944857851546</v>
      </c>
      <c r="O47" s="12">
        <v>25.522290000000002</v>
      </c>
      <c r="P47" s="12">
        <v>1.4924812030075187</v>
      </c>
      <c r="Q47" s="12">
        <v>0.4974670864338866</v>
      </c>
    </row>
    <row r="48" spans="1:17" x14ac:dyDescent="0.3">
      <c r="A48" t="s">
        <v>63</v>
      </c>
      <c r="B48" t="s">
        <v>65</v>
      </c>
      <c r="C48" t="s">
        <v>84</v>
      </c>
      <c r="D48">
        <v>14.353999999999999</v>
      </c>
      <c r="E48" s="12">
        <v>2.6480000000000001</v>
      </c>
      <c r="F48" s="8">
        <v>19.299999999999997</v>
      </c>
      <c r="G48" s="8">
        <v>502.59999999999991</v>
      </c>
      <c r="H48" s="8">
        <v>59.000000000000007</v>
      </c>
      <c r="I48" s="206">
        <v>7.5330431983395236</v>
      </c>
      <c r="J48" s="8">
        <v>377.8</v>
      </c>
      <c r="K48" s="8">
        <v>26.02</v>
      </c>
      <c r="L48" s="8">
        <v>8.52</v>
      </c>
      <c r="M48" s="206">
        <f t="shared" si="0"/>
        <v>0.11737089201877934</v>
      </c>
      <c r="N48" s="206">
        <f t="shared" si="1"/>
        <v>0.75169120573020309</v>
      </c>
      <c r="O48" s="12">
        <v>30.36534</v>
      </c>
      <c r="P48" s="12">
        <v>1.397887323943662</v>
      </c>
      <c r="Q48" s="12">
        <v>0.56376840429765229</v>
      </c>
    </row>
    <row r="49" spans="1:17" x14ac:dyDescent="0.3">
      <c r="A49" t="s">
        <v>64</v>
      </c>
      <c r="B49" t="s">
        <v>65</v>
      </c>
      <c r="C49" t="s">
        <v>85</v>
      </c>
      <c r="D49">
        <v>15.166</v>
      </c>
      <c r="E49" s="12">
        <v>2.3860000000000001</v>
      </c>
      <c r="F49" s="8">
        <v>17.7</v>
      </c>
      <c r="G49" s="8">
        <v>498.59999999999997</v>
      </c>
      <c r="H49" s="8">
        <v>59.2</v>
      </c>
      <c r="I49" s="206">
        <v>6.7563120773781637</v>
      </c>
      <c r="J49" s="8">
        <v>382.37000000000006</v>
      </c>
      <c r="K49" s="8">
        <v>28.24</v>
      </c>
      <c r="L49" s="8">
        <v>8.42</v>
      </c>
      <c r="M49" s="206">
        <f t="shared" si="0"/>
        <v>0.11876484560570072</v>
      </c>
      <c r="N49" s="206">
        <f t="shared" si="1"/>
        <v>0.76688728439630982</v>
      </c>
      <c r="O49" s="12">
        <v>32.95608</v>
      </c>
      <c r="P49" s="12">
        <v>1.4144893111638956</v>
      </c>
      <c r="Q49" s="12">
        <v>0.57516546329723239</v>
      </c>
    </row>
    <row r="50" spans="1:17" x14ac:dyDescent="0.3">
      <c r="F50" s="8"/>
      <c r="G50" s="8"/>
      <c r="H50" s="8"/>
      <c r="I50" s="8"/>
      <c r="J50" s="8"/>
      <c r="K50" s="8"/>
      <c r="L50" s="8"/>
      <c r="M50" s="8"/>
      <c r="N50" s="8"/>
    </row>
  </sheetData>
  <mergeCells count="20">
    <mergeCell ref="AK9:AK13"/>
    <mergeCell ref="AK14:AK18"/>
    <mergeCell ref="AW9:AW13"/>
    <mergeCell ref="AW14:AW18"/>
    <mergeCell ref="BC9:BC13"/>
    <mergeCell ref="BC14:BC18"/>
    <mergeCell ref="AQ9:AQ13"/>
    <mergeCell ref="AQ14:AQ18"/>
    <mergeCell ref="U9:U13"/>
    <mergeCell ref="U14:U18"/>
    <mergeCell ref="Z9:Z13"/>
    <mergeCell ref="Z14:Z18"/>
    <mergeCell ref="AE9:AE13"/>
    <mergeCell ref="AE14:AE18"/>
    <mergeCell ref="BO9:BO13"/>
    <mergeCell ref="BO14:BO18"/>
    <mergeCell ref="BU9:BU13"/>
    <mergeCell ref="BU14:BU18"/>
    <mergeCell ref="BI9:BI13"/>
    <mergeCell ref="BI14:BI18"/>
  </mergeCells>
  <phoneticPr fontId="3" type="noConversion"/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31661-EB3F-4212-9C3E-AA4E580FBF20}">
  <dimension ref="A1:T121"/>
  <sheetViews>
    <sheetView topLeftCell="H1" workbookViewId="0">
      <selection activeCell="M122" sqref="M122"/>
    </sheetView>
  </sheetViews>
  <sheetFormatPr baseColWidth="10" defaultRowHeight="14.4" x14ac:dyDescent="0.3"/>
  <cols>
    <col min="1" max="1" width="11.77734375" bestFit="1" customWidth="1"/>
    <col min="2" max="2" width="11.77734375" customWidth="1"/>
    <col min="3" max="3" width="12.5546875" bestFit="1" customWidth="1"/>
    <col min="4" max="4" width="12.77734375" bestFit="1" customWidth="1"/>
    <col min="5" max="5" width="8.88671875" bestFit="1" customWidth="1"/>
    <col min="6" max="6" width="11.33203125" bestFit="1" customWidth="1"/>
    <col min="7" max="8" width="11.33203125" customWidth="1"/>
    <col min="9" max="9" width="7.6640625" bestFit="1" customWidth="1"/>
    <col min="10" max="10" width="7.77734375" bestFit="1" customWidth="1"/>
    <col min="11" max="11" width="12.77734375" bestFit="1" customWidth="1"/>
    <col min="12" max="12" width="11.6640625" bestFit="1" customWidth="1"/>
    <col min="13" max="13" width="11.44140625" bestFit="1" customWidth="1"/>
  </cols>
  <sheetData>
    <row r="1" spans="1:20" ht="72" x14ac:dyDescent="0.3">
      <c r="A1" s="216" t="s">
        <v>2</v>
      </c>
      <c r="B1" s="1" t="s">
        <v>89</v>
      </c>
      <c r="C1" s="216" t="s">
        <v>184</v>
      </c>
      <c r="D1" s="216" t="s">
        <v>102</v>
      </c>
      <c r="E1" s="216" t="s">
        <v>229</v>
      </c>
      <c r="F1" s="216" t="s">
        <v>337</v>
      </c>
      <c r="G1" s="216" t="s">
        <v>516</v>
      </c>
      <c r="H1" s="216" t="s">
        <v>517</v>
      </c>
      <c r="I1" s="217" t="s">
        <v>518</v>
      </c>
      <c r="J1" s="218" t="s">
        <v>519</v>
      </c>
      <c r="K1" s="218" t="s">
        <v>520</v>
      </c>
      <c r="L1" s="218" t="s">
        <v>521</v>
      </c>
      <c r="M1" s="219" t="s">
        <v>522</v>
      </c>
      <c r="N1" s="220"/>
      <c r="O1" s="220"/>
      <c r="Q1" s="220"/>
    </row>
    <row r="2" spans="1:20" x14ac:dyDescent="0.3">
      <c r="A2" t="s">
        <v>4</v>
      </c>
      <c r="B2" t="s">
        <v>25</v>
      </c>
      <c r="C2" t="s">
        <v>185</v>
      </c>
      <c r="D2" s="25">
        <v>0.13912244298118992</v>
      </c>
      <c r="E2" s="25">
        <v>0.21117755701881011</v>
      </c>
      <c r="F2">
        <v>150</v>
      </c>
      <c r="G2">
        <v>9.2700000000000116E-2</v>
      </c>
      <c r="H2">
        <v>4.5000000000000151E-2</v>
      </c>
      <c r="I2" s="32">
        <v>1</v>
      </c>
      <c r="J2">
        <v>56840</v>
      </c>
      <c r="K2" s="12">
        <f>J2/1771.2</f>
        <v>32.091237579042456</v>
      </c>
      <c r="M2" s="33"/>
      <c r="Q2" s="1"/>
      <c r="R2" s="1"/>
      <c r="S2" s="1"/>
      <c r="T2" s="1"/>
    </row>
    <row r="3" spans="1:20" x14ac:dyDescent="0.3">
      <c r="A3" t="s">
        <v>4</v>
      </c>
      <c r="B3" t="s">
        <v>25</v>
      </c>
      <c r="C3" t="s">
        <v>185</v>
      </c>
      <c r="D3" s="25">
        <v>0.14325282667232431</v>
      </c>
      <c r="E3" s="25">
        <v>0.21744717332767574</v>
      </c>
      <c r="F3">
        <v>150</v>
      </c>
      <c r="G3">
        <v>0.1028</v>
      </c>
      <c r="H3">
        <v>4.5799999999999952E-2</v>
      </c>
      <c r="I3" s="32">
        <v>2</v>
      </c>
      <c r="J3">
        <v>39010</v>
      </c>
      <c r="K3" s="12">
        <f t="shared" ref="K3:K68" si="0">J3/1771.2</f>
        <v>22.024616079494127</v>
      </c>
      <c r="M3" s="33"/>
      <c r="Q3" s="228"/>
      <c r="S3" s="12"/>
      <c r="T3" s="12"/>
    </row>
    <row r="4" spans="1:20" x14ac:dyDescent="0.3">
      <c r="A4" t="s">
        <v>5</v>
      </c>
      <c r="B4" t="s">
        <v>26</v>
      </c>
      <c r="C4" t="s">
        <v>185</v>
      </c>
      <c r="D4" s="25">
        <v>0.14133356421575829</v>
      </c>
      <c r="E4" s="25">
        <v>0.2132664357842417</v>
      </c>
      <c r="F4">
        <v>150</v>
      </c>
      <c r="G4">
        <v>9.8399999999999932E-2</v>
      </c>
      <c r="H4">
        <v>4.7299999999999898E-2</v>
      </c>
      <c r="I4" s="32">
        <v>3</v>
      </c>
      <c r="J4">
        <v>2898</v>
      </c>
      <c r="K4" s="12">
        <f t="shared" si="0"/>
        <v>1.6361788617886179</v>
      </c>
      <c r="M4" s="33"/>
      <c r="Q4" s="228"/>
      <c r="S4" s="12"/>
      <c r="T4" s="12"/>
    </row>
    <row r="5" spans="1:20" x14ac:dyDescent="0.3">
      <c r="A5" t="s">
        <v>5</v>
      </c>
      <c r="B5" t="s">
        <v>26</v>
      </c>
      <c r="C5" t="s">
        <v>185</v>
      </c>
      <c r="D5" s="25">
        <v>0.14105456394798888</v>
      </c>
      <c r="E5" s="25">
        <v>0.21284543605201109</v>
      </c>
      <c r="F5">
        <v>150</v>
      </c>
      <c r="G5">
        <v>9.1999999999999971E-2</v>
      </c>
      <c r="H5">
        <v>4.5300000000000007E-2</v>
      </c>
      <c r="I5" s="32">
        <v>4</v>
      </c>
      <c r="J5">
        <v>2079</v>
      </c>
      <c r="K5" s="12">
        <f t="shared" si="0"/>
        <v>1.1737804878048781</v>
      </c>
      <c r="M5" s="33"/>
      <c r="Q5" s="228"/>
      <c r="S5" s="12"/>
      <c r="T5" s="12"/>
    </row>
    <row r="6" spans="1:20" x14ac:dyDescent="0.3">
      <c r="A6" t="s">
        <v>6</v>
      </c>
      <c r="B6" t="s">
        <v>27</v>
      </c>
      <c r="C6" t="s">
        <v>185</v>
      </c>
      <c r="D6" s="25">
        <v>0.1404826750922919</v>
      </c>
      <c r="E6" s="25">
        <v>0.21491732490770812</v>
      </c>
      <c r="F6">
        <v>150</v>
      </c>
      <c r="G6">
        <v>9.1199999999999948E-2</v>
      </c>
      <c r="H6">
        <v>4.5899999999999941E-2</v>
      </c>
      <c r="I6" s="32">
        <v>5</v>
      </c>
      <c r="J6">
        <v>1573</v>
      </c>
      <c r="K6" s="215">
        <f t="shared" si="0"/>
        <v>0.88809846431797645</v>
      </c>
      <c r="M6" s="33"/>
      <c r="Q6" s="228"/>
      <c r="S6" s="12"/>
      <c r="T6" s="12"/>
    </row>
    <row r="7" spans="1:20" x14ac:dyDescent="0.3">
      <c r="A7" t="s">
        <v>6</v>
      </c>
      <c r="B7" t="s">
        <v>27</v>
      </c>
      <c r="C7" t="s">
        <v>185</v>
      </c>
      <c r="D7" s="25">
        <v>0.14064078727585105</v>
      </c>
      <c r="E7" s="25">
        <v>0.21515921272414901</v>
      </c>
      <c r="F7">
        <v>150</v>
      </c>
      <c r="G7">
        <v>9.1399999999999926E-2</v>
      </c>
      <c r="H7">
        <v>4.6799999999999953E-2</v>
      </c>
      <c r="I7" s="32">
        <v>6</v>
      </c>
      <c r="J7">
        <v>1463</v>
      </c>
      <c r="K7" s="215">
        <f t="shared" si="0"/>
        <v>0.8259936766034327</v>
      </c>
      <c r="M7" s="33"/>
      <c r="Q7" s="228"/>
      <c r="S7" s="12"/>
      <c r="T7" s="12"/>
    </row>
    <row r="8" spans="1:20" x14ac:dyDescent="0.3">
      <c r="A8" t="s">
        <v>7</v>
      </c>
      <c r="B8" t="s">
        <v>28</v>
      </c>
      <c r="C8" t="s">
        <v>185</v>
      </c>
      <c r="D8" s="25">
        <v>0.13754569275182515</v>
      </c>
      <c r="E8" s="25">
        <v>0.21535430724817484</v>
      </c>
      <c r="F8">
        <v>150</v>
      </c>
      <c r="G8">
        <v>9.3600000000000017E-2</v>
      </c>
      <c r="H8">
        <v>4.6200000000000019E-2</v>
      </c>
      <c r="I8" s="32">
        <v>7</v>
      </c>
      <c r="J8">
        <v>4004</v>
      </c>
      <c r="K8" s="12">
        <f t="shared" si="0"/>
        <v>2.2606142728093945</v>
      </c>
      <c r="M8" s="33"/>
      <c r="Q8" s="228"/>
      <c r="S8" s="12"/>
      <c r="T8" s="12"/>
    </row>
    <row r="9" spans="1:20" x14ac:dyDescent="0.3">
      <c r="A9" t="s">
        <v>7</v>
      </c>
      <c r="B9" t="s">
        <v>28</v>
      </c>
      <c r="C9" t="s">
        <v>185</v>
      </c>
      <c r="D9" s="25">
        <v>0.135324070624635</v>
      </c>
      <c r="E9" s="25">
        <v>0.21187592937536498</v>
      </c>
      <c r="F9">
        <v>150</v>
      </c>
      <c r="G9">
        <v>9.2399999999999927E-2</v>
      </c>
      <c r="H9">
        <v>4.720000000000002E-2</v>
      </c>
      <c r="I9" s="32">
        <v>8</v>
      </c>
      <c r="J9">
        <v>3211</v>
      </c>
      <c r="K9" s="12">
        <f t="shared" si="0"/>
        <v>1.8128952122854562</v>
      </c>
      <c r="M9" s="33"/>
      <c r="Q9" s="228"/>
      <c r="S9" s="12"/>
      <c r="T9" s="12"/>
    </row>
    <row r="10" spans="1:20" x14ac:dyDescent="0.3">
      <c r="A10" t="s">
        <v>8</v>
      </c>
      <c r="B10" t="s">
        <v>29</v>
      </c>
      <c r="C10" t="s">
        <v>185</v>
      </c>
      <c r="D10" s="25">
        <v>0.13915675508264616</v>
      </c>
      <c r="E10" s="25">
        <v>0.21024324491735377</v>
      </c>
      <c r="F10">
        <v>150</v>
      </c>
      <c r="G10">
        <v>9.3400000000000039E-2</v>
      </c>
      <c r="H10">
        <v>4.6599999999999975E-2</v>
      </c>
      <c r="I10" s="32">
        <v>9</v>
      </c>
      <c r="J10">
        <v>2575</v>
      </c>
      <c r="K10" s="12">
        <f t="shared" si="0"/>
        <v>1.4538166214995483</v>
      </c>
      <c r="M10" s="33"/>
      <c r="Q10" s="221"/>
    </row>
    <row r="11" spans="1:20" x14ac:dyDescent="0.3">
      <c r="A11" t="s">
        <v>8</v>
      </c>
      <c r="B11" t="s">
        <v>29</v>
      </c>
      <c r="C11" t="s">
        <v>185</v>
      </c>
      <c r="D11" s="25">
        <v>0.14071002166771293</v>
      </c>
      <c r="E11" s="25">
        <v>0.21258997833228707</v>
      </c>
      <c r="F11">
        <v>150</v>
      </c>
      <c r="G11">
        <v>9.3200000000000061E-2</v>
      </c>
      <c r="H11">
        <v>4.8200000000000021E-2</v>
      </c>
      <c r="I11" s="32">
        <v>10</v>
      </c>
      <c r="J11">
        <v>2300</v>
      </c>
      <c r="K11" s="12">
        <f t="shared" si="0"/>
        <v>1.2985546522131888</v>
      </c>
      <c r="M11" s="33"/>
      <c r="Q11" s="221"/>
    </row>
    <row r="12" spans="1:20" x14ac:dyDescent="0.3">
      <c r="A12" t="s">
        <v>9</v>
      </c>
      <c r="B12" t="s">
        <v>40</v>
      </c>
      <c r="C12" t="s">
        <v>185</v>
      </c>
      <c r="D12" s="25">
        <v>0.14191085981076498</v>
      </c>
      <c r="E12" s="25">
        <v>0.21398914018923504</v>
      </c>
      <c r="F12">
        <v>150</v>
      </c>
      <c r="G12">
        <v>9.0700000000000003E-2</v>
      </c>
      <c r="H12">
        <v>4.6100000000000141E-2</v>
      </c>
      <c r="I12" s="32">
        <v>11</v>
      </c>
      <c r="J12">
        <v>3236</v>
      </c>
      <c r="K12" s="12">
        <f>J12/1771.2</f>
        <v>1.8270099367660342</v>
      </c>
      <c r="L12" s="12">
        <v>0.51987767584097899</v>
      </c>
      <c r="M12" s="111">
        <f>(K12-L12)/K12</f>
        <v>0.71544890622696466</v>
      </c>
      <c r="Q12" s="221"/>
    </row>
    <row r="13" spans="1:20" x14ac:dyDescent="0.3">
      <c r="A13" t="s">
        <v>9</v>
      </c>
      <c r="B13" t="s">
        <v>40</v>
      </c>
      <c r="C13" t="s">
        <v>185</v>
      </c>
      <c r="D13" s="25">
        <v>0.14043552915243446</v>
      </c>
      <c r="E13" s="25">
        <v>0.21176447084756553</v>
      </c>
      <c r="F13">
        <v>150</v>
      </c>
      <c r="G13">
        <v>8.9899999999999869E-2</v>
      </c>
      <c r="H13">
        <v>4.9200000000000133E-2</v>
      </c>
      <c r="I13" s="32">
        <v>12</v>
      </c>
      <c r="J13">
        <v>3379</v>
      </c>
      <c r="K13" s="12">
        <f t="shared" si="0"/>
        <v>1.9077461607949413</v>
      </c>
      <c r="L13" s="12">
        <v>0.65951185736541462</v>
      </c>
      <c r="M13" s="111">
        <f t="shared" ref="M13:M73" si="1">(K13-L13)/K13</f>
        <v>0.65429789826409523</v>
      </c>
      <c r="Q13" s="1"/>
    </row>
    <row r="14" spans="1:20" x14ac:dyDescent="0.3">
      <c r="A14" t="s">
        <v>10</v>
      </c>
      <c r="B14" t="s">
        <v>31</v>
      </c>
      <c r="C14" t="s">
        <v>185</v>
      </c>
      <c r="D14" s="25">
        <v>0.14182591460088478</v>
      </c>
      <c r="E14" s="25">
        <v>0.21257408539911515</v>
      </c>
      <c r="F14">
        <v>150</v>
      </c>
      <c r="G14">
        <v>9.1799999999999993E-2</v>
      </c>
      <c r="H14">
        <v>4.5300000000000118E-2</v>
      </c>
      <c r="I14" s="32">
        <v>13</v>
      </c>
      <c r="J14">
        <v>2984</v>
      </c>
      <c r="K14" s="12">
        <f t="shared" si="0"/>
        <v>1.6847335140018067</v>
      </c>
      <c r="L14" s="12">
        <v>0.46044659858057818</v>
      </c>
      <c r="M14" s="111">
        <f t="shared" si="1"/>
        <v>0.72669469993099201</v>
      </c>
      <c r="Q14" s="1"/>
      <c r="R14" s="1"/>
      <c r="S14" s="1"/>
      <c r="T14" s="1"/>
    </row>
    <row r="15" spans="1:20" x14ac:dyDescent="0.3">
      <c r="A15" t="s">
        <v>10</v>
      </c>
      <c r="B15" t="s">
        <v>31</v>
      </c>
      <c r="C15" t="s">
        <v>185</v>
      </c>
      <c r="D15" s="25">
        <v>0.13822424069736344</v>
      </c>
      <c r="E15" s="25">
        <v>0.20717575930263651</v>
      </c>
      <c r="F15">
        <v>150</v>
      </c>
      <c r="G15">
        <v>9.110000000000007E-2</v>
      </c>
      <c r="H15">
        <v>4.7300000000000009E-2</v>
      </c>
      <c r="I15" s="32">
        <v>14</v>
      </c>
      <c r="J15">
        <v>2414</v>
      </c>
      <c r="K15" s="12">
        <f t="shared" si="0"/>
        <v>1.362917795844625</v>
      </c>
      <c r="L15" s="12">
        <v>0.62258380935895219</v>
      </c>
      <c r="M15" s="111">
        <f t="shared" si="1"/>
        <v>0.54319782802958738</v>
      </c>
      <c r="Q15" s="228"/>
      <c r="S15" s="12"/>
      <c r="T15" s="12"/>
    </row>
    <row r="16" spans="1:20" x14ac:dyDescent="0.3">
      <c r="A16" t="s">
        <v>11</v>
      </c>
      <c r="B16" t="s">
        <v>32</v>
      </c>
      <c r="C16" t="s">
        <v>185</v>
      </c>
      <c r="D16" s="25">
        <v>0.13697902204222079</v>
      </c>
      <c r="E16" s="25">
        <v>0.21482097795777916</v>
      </c>
      <c r="F16">
        <v>150</v>
      </c>
      <c r="G16">
        <v>9.5199999999999951E-2</v>
      </c>
      <c r="H16">
        <v>4.7300000000000009E-2</v>
      </c>
      <c r="I16" s="32">
        <v>15</v>
      </c>
      <c r="J16">
        <v>15858</v>
      </c>
      <c r="K16" s="12">
        <f t="shared" si="0"/>
        <v>8.9532520325203251</v>
      </c>
      <c r="M16" s="111"/>
      <c r="Q16" s="228"/>
      <c r="S16" s="12"/>
      <c r="T16" s="12"/>
    </row>
    <row r="17" spans="1:20" x14ac:dyDescent="0.3">
      <c r="A17" t="s">
        <v>11</v>
      </c>
      <c r="B17" t="s">
        <v>32</v>
      </c>
      <c r="C17" t="s">
        <v>185</v>
      </c>
      <c r="D17" s="25">
        <v>0.13596666997482521</v>
      </c>
      <c r="E17" s="25">
        <v>0.21323333002517481</v>
      </c>
      <c r="F17">
        <v>150</v>
      </c>
      <c r="G17">
        <v>9.319999999999995E-2</v>
      </c>
      <c r="H17">
        <v>4.6899999999999942E-2</v>
      </c>
      <c r="I17" s="32">
        <v>16</v>
      </c>
      <c r="J17">
        <v>27604</v>
      </c>
      <c r="K17" s="12">
        <f t="shared" si="0"/>
        <v>15.584914182475158</v>
      </c>
      <c r="M17" s="111"/>
      <c r="Q17" s="228"/>
      <c r="S17" s="12"/>
      <c r="T17" s="12"/>
    </row>
    <row r="18" spans="1:20" x14ac:dyDescent="0.3">
      <c r="A18" t="s">
        <v>12</v>
      </c>
      <c r="B18" t="s">
        <v>33</v>
      </c>
      <c r="C18" t="s">
        <v>185</v>
      </c>
      <c r="D18" s="25">
        <v>0.13789997812349231</v>
      </c>
      <c r="E18" s="25">
        <v>0.21100002187650763</v>
      </c>
      <c r="F18">
        <v>150</v>
      </c>
      <c r="G18">
        <v>9.3499999999999917E-2</v>
      </c>
      <c r="H18">
        <v>4.6999999999999931E-2</v>
      </c>
      <c r="I18" s="32">
        <v>17</v>
      </c>
      <c r="J18">
        <v>17691</v>
      </c>
      <c r="K18" s="12">
        <f t="shared" si="0"/>
        <v>9.9881436314363139</v>
      </c>
      <c r="M18" s="111"/>
      <c r="Q18" s="228"/>
      <c r="S18" s="12"/>
      <c r="T18" s="12"/>
    </row>
    <row r="19" spans="1:20" x14ac:dyDescent="0.3">
      <c r="A19" t="s">
        <v>12</v>
      </c>
      <c r="B19" t="s">
        <v>33</v>
      </c>
      <c r="C19" t="s">
        <v>185</v>
      </c>
      <c r="D19" s="25">
        <v>0.13667472752967511</v>
      </c>
      <c r="E19" s="25">
        <v>0.20912527247032486</v>
      </c>
      <c r="F19">
        <v>150</v>
      </c>
      <c r="G19">
        <v>9.5100000000000073E-2</v>
      </c>
      <c r="H19">
        <v>4.6999999999999931E-2</v>
      </c>
      <c r="I19" s="32">
        <v>18</v>
      </c>
      <c r="J19">
        <v>16675</v>
      </c>
      <c r="K19" s="12">
        <f t="shared" si="0"/>
        <v>9.4145212285456186</v>
      </c>
      <c r="M19" s="111"/>
      <c r="Q19" s="228"/>
      <c r="S19" s="12"/>
      <c r="T19" s="12"/>
    </row>
    <row r="20" spans="1:20" x14ac:dyDescent="0.3">
      <c r="A20" t="s">
        <v>13</v>
      </c>
      <c r="B20" t="s">
        <v>34</v>
      </c>
      <c r="C20" t="s">
        <v>185</v>
      </c>
      <c r="D20" s="25">
        <v>0.14171778976051613</v>
      </c>
      <c r="E20" s="25">
        <v>0.21218221023948386</v>
      </c>
      <c r="F20">
        <v>150</v>
      </c>
      <c r="G20">
        <v>9.3599999999999905E-2</v>
      </c>
      <c r="H20">
        <v>4.6900000000000053E-2</v>
      </c>
      <c r="I20" s="32">
        <v>19</v>
      </c>
      <c r="J20">
        <v>2078</v>
      </c>
      <c r="K20" s="12">
        <f t="shared" si="0"/>
        <v>1.1732158988256549</v>
      </c>
      <c r="M20" s="111"/>
      <c r="Q20" s="228"/>
      <c r="S20" s="12"/>
      <c r="T20" s="12"/>
    </row>
    <row r="21" spans="1:20" x14ac:dyDescent="0.3">
      <c r="A21" t="s">
        <v>13</v>
      </c>
      <c r="B21" t="s">
        <v>34</v>
      </c>
      <c r="C21" t="s">
        <v>185</v>
      </c>
      <c r="D21" s="25">
        <v>0.13995582797767842</v>
      </c>
      <c r="E21" s="25">
        <v>0.20954417202232159</v>
      </c>
      <c r="F21">
        <v>150</v>
      </c>
      <c r="G21">
        <v>9.3000000000000083E-2</v>
      </c>
      <c r="H21">
        <v>4.7799999999999954E-2</v>
      </c>
      <c r="I21" s="32">
        <v>20</v>
      </c>
      <c r="J21">
        <v>3541</v>
      </c>
      <c r="K21" s="12">
        <f t="shared" si="0"/>
        <v>1.9992095754290875</v>
      </c>
      <c r="M21" s="111"/>
      <c r="Q21" s="228"/>
      <c r="S21" s="12"/>
      <c r="T21" s="12"/>
    </row>
    <row r="22" spans="1:20" x14ac:dyDescent="0.3">
      <c r="A22" t="s">
        <v>14</v>
      </c>
      <c r="B22" t="s">
        <v>35</v>
      </c>
      <c r="C22" t="s">
        <v>185</v>
      </c>
      <c r="D22" s="25">
        <v>0.13848196427711393</v>
      </c>
      <c r="E22" s="25">
        <v>0.20961803572288606</v>
      </c>
      <c r="F22">
        <v>150</v>
      </c>
      <c r="G22">
        <v>9.3899999999999983E-2</v>
      </c>
      <c r="H22">
        <v>4.6800000000000064E-2</v>
      </c>
      <c r="I22" s="32">
        <v>21</v>
      </c>
      <c r="J22">
        <v>26244</v>
      </c>
      <c r="K22" s="12">
        <f>J22/1771.2</f>
        <v>14.817073170731707</v>
      </c>
      <c r="M22" s="111"/>
    </row>
    <row r="23" spans="1:20" x14ac:dyDescent="0.3">
      <c r="A23" t="s">
        <v>14</v>
      </c>
      <c r="B23" t="s">
        <v>35</v>
      </c>
      <c r="C23" t="s">
        <v>185</v>
      </c>
      <c r="D23" s="25">
        <v>0.14166454317460578</v>
      </c>
      <c r="E23" s="25">
        <v>0.21443545682539422</v>
      </c>
      <c r="F23">
        <v>150</v>
      </c>
      <c r="G23">
        <v>9.8600000000000021E-2</v>
      </c>
      <c r="H23">
        <v>4.7100000000000142E-2</v>
      </c>
      <c r="I23" s="32">
        <v>22</v>
      </c>
      <c r="J23">
        <v>24228</v>
      </c>
      <c r="K23" s="12">
        <f t="shared" si="0"/>
        <v>13.678861788617885</v>
      </c>
      <c r="M23" s="111"/>
    </row>
    <row r="24" spans="1:20" x14ac:dyDescent="0.3">
      <c r="A24" t="s">
        <v>15</v>
      </c>
      <c r="B24" t="s">
        <v>36</v>
      </c>
      <c r="C24" t="s">
        <v>185</v>
      </c>
      <c r="D24" s="25">
        <v>0.14057744590500526</v>
      </c>
      <c r="E24" s="25">
        <v>0.21172255409499477</v>
      </c>
      <c r="F24">
        <v>150</v>
      </c>
      <c r="G24">
        <v>9.1600000000000126E-2</v>
      </c>
      <c r="H24">
        <v>4.6599999999999975E-2</v>
      </c>
      <c r="I24" s="32">
        <v>23</v>
      </c>
      <c r="J24">
        <v>1891</v>
      </c>
      <c r="K24" s="12">
        <f t="shared" si="0"/>
        <v>1.0676377597109303</v>
      </c>
      <c r="M24" s="111"/>
    </row>
    <row r="25" spans="1:20" x14ac:dyDescent="0.3">
      <c r="A25" t="s">
        <v>15</v>
      </c>
      <c r="B25" t="s">
        <v>36</v>
      </c>
      <c r="C25" t="s">
        <v>185</v>
      </c>
      <c r="D25" s="25">
        <v>0.13973948781133363</v>
      </c>
      <c r="E25" s="25">
        <v>0.21046051218866638</v>
      </c>
      <c r="F25">
        <v>150</v>
      </c>
      <c r="G25">
        <v>9.1999999999999971E-2</v>
      </c>
      <c r="H25">
        <v>4.6300000000000008E-2</v>
      </c>
      <c r="I25" s="32">
        <v>24</v>
      </c>
      <c r="J25">
        <v>1717</v>
      </c>
      <c r="K25" s="215">
        <f t="shared" si="0"/>
        <v>0.96939927732610653</v>
      </c>
      <c r="M25" s="111"/>
    </row>
    <row r="26" spans="1:20" x14ac:dyDescent="0.3">
      <c r="A26" t="s">
        <v>16</v>
      </c>
      <c r="B26" t="s">
        <v>37</v>
      </c>
      <c r="C26" t="s">
        <v>185</v>
      </c>
      <c r="D26" s="25">
        <v>0.14018031609920883</v>
      </c>
      <c r="E26" s="25">
        <v>0.21341968390079119</v>
      </c>
      <c r="F26">
        <v>150</v>
      </c>
      <c r="G26">
        <v>9.3500000000000028E-2</v>
      </c>
      <c r="H26">
        <v>4.5599999999999974E-2</v>
      </c>
      <c r="I26" s="32">
        <v>25</v>
      </c>
      <c r="J26">
        <v>6629</v>
      </c>
      <c r="K26" s="12">
        <f t="shared" si="0"/>
        <v>3.7426603432700993</v>
      </c>
      <c r="M26" s="111"/>
    </row>
    <row r="27" spans="1:20" x14ac:dyDescent="0.3">
      <c r="A27" t="s">
        <v>16</v>
      </c>
      <c r="B27" t="s">
        <v>37</v>
      </c>
      <c r="C27" t="s">
        <v>185</v>
      </c>
      <c r="D27" s="25">
        <v>0.13851527840798519</v>
      </c>
      <c r="E27" s="25">
        <v>0.21088472159201482</v>
      </c>
      <c r="F27">
        <v>150</v>
      </c>
      <c r="G27">
        <v>9.4100000000000072E-2</v>
      </c>
      <c r="H27">
        <v>4.5900000000000052E-2</v>
      </c>
      <c r="I27" s="32">
        <v>26</v>
      </c>
      <c r="J27">
        <v>8113</v>
      </c>
      <c r="K27" s="12">
        <f t="shared" si="0"/>
        <v>4.5805103884372178</v>
      </c>
      <c r="M27" s="111"/>
    </row>
    <row r="28" spans="1:20" x14ac:dyDescent="0.3">
      <c r="A28" t="s">
        <v>17</v>
      </c>
      <c r="B28" t="s">
        <v>38</v>
      </c>
      <c r="C28" t="s">
        <v>185</v>
      </c>
      <c r="D28" s="25">
        <v>0.14247953508104597</v>
      </c>
      <c r="E28" s="25">
        <v>0.21312046491895412</v>
      </c>
      <c r="F28">
        <v>150</v>
      </c>
      <c r="G28">
        <v>9.4899999999999984E-2</v>
      </c>
      <c r="H28">
        <v>4.6200000000000019E-2</v>
      </c>
      <c r="I28" s="32">
        <v>27</v>
      </c>
      <c r="J28">
        <v>5171</v>
      </c>
      <c r="K28" s="12">
        <f t="shared" si="0"/>
        <v>2.9194896115627822</v>
      </c>
      <c r="M28" s="111"/>
    </row>
    <row r="29" spans="1:20" x14ac:dyDescent="0.3">
      <c r="A29" t="s">
        <v>17</v>
      </c>
      <c r="B29" t="s">
        <v>38</v>
      </c>
      <c r="C29" t="s">
        <v>185</v>
      </c>
      <c r="D29" s="25">
        <v>0.14039603231833098</v>
      </c>
      <c r="E29" s="25">
        <v>0.21000396768166901</v>
      </c>
      <c r="F29">
        <v>150</v>
      </c>
      <c r="G29">
        <v>9.4899999999999873E-2</v>
      </c>
      <c r="H29">
        <v>4.599999999999993E-2</v>
      </c>
      <c r="I29" s="32">
        <v>28</v>
      </c>
      <c r="J29">
        <v>3903</v>
      </c>
      <c r="K29" s="12">
        <f t="shared" si="0"/>
        <v>2.203590785907859</v>
      </c>
      <c r="M29" s="111"/>
    </row>
    <row r="30" spans="1:20" x14ac:dyDescent="0.3">
      <c r="A30" t="s">
        <v>23</v>
      </c>
      <c r="B30" t="s">
        <v>39</v>
      </c>
      <c r="C30" t="s">
        <v>185</v>
      </c>
      <c r="D30" s="25">
        <v>0.13668139785223674</v>
      </c>
      <c r="E30" s="25">
        <v>0.20831860214776329</v>
      </c>
      <c r="F30">
        <v>150</v>
      </c>
      <c r="G30">
        <v>9.6200000000000063E-2</v>
      </c>
      <c r="H30">
        <v>4.7699999999999854E-2</v>
      </c>
      <c r="I30" s="32">
        <v>29</v>
      </c>
      <c r="J30">
        <v>2180</v>
      </c>
      <c r="K30" s="12">
        <f t="shared" si="0"/>
        <v>1.2308039747064137</v>
      </c>
      <c r="M30" s="111"/>
    </row>
    <row r="31" spans="1:20" x14ac:dyDescent="0.3">
      <c r="A31" t="s">
        <v>23</v>
      </c>
      <c r="B31" t="s">
        <v>39</v>
      </c>
      <c r="C31" t="s">
        <v>185</v>
      </c>
      <c r="D31" s="25">
        <v>0.13771146056068839</v>
      </c>
      <c r="E31" s="25">
        <v>0.20988853943931168</v>
      </c>
      <c r="F31">
        <v>150</v>
      </c>
      <c r="G31">
        <v>0.10019999999999996</v>
      </c>
      <c r="H31">
        <v>4.8099999999999921E-2</v>
      </c>
      <c r="I31" s="32">
        <v>30</v>
      </c>
      <c r="J31">
        <v>3667</v>
      </c>
      <c r="K31" s="12">
        <f t="shared" si="0"/>
        <v>2.0703477868112015</v>
      </c>
      <c r="M31" s="111"/>
    </row>
    <row r="32" spans="1:20" x14ac:dyDescent="0.3">
      <c r="A32" t="s">
        <v>18</v>
      </c>
      <c r="B32" t="s">
        <v>30</v>
      </c>
      <c r="C32" t="s">
        <v>185</v>
      </c>
      <c r="D32" s="25">
        <v>0.14119807330553244</v>
      </c>
      <c r="E32" s="25">
        <v>0.21190192669446764</v>
      </c>
      <c r="F32">
        <v>150</v>
      </c>
      <c r="G32">
        <v>9.419999999999995E-2</v>
      </c>
      <c r="H32">
        <v>4.6499999999999875E-2</v>
      </c>
      <c r="I32" s="32">
        <v>31</v>
      </c>
      <c r="J32">
        <v>2061</v>
      </c>
      <c r="K32" s="12">
        <f t="shared" si="0"/>
        <v>1.1636178861788617</v>
      </c>
      <c r="L32" s="12">
        <v>0.98090127517165782</v>
      </c>
      <c r="M32" s="111">
        <f t="shared" si="1"/>
        <v>0.15702458098785038</v>
      </c>
    </row>
    <row r="33" spans="1:13" x14ac:dyDescent="0.3">
      <c r="A33" t="s">
        <v>18</v>
      </c>
      <c r="B33" t="s">
        <v>30</v>
      </c>
      <c r="C33" t="s">
        <v>185</v>
      </c>
      <c r="D33" s="25">
        <v>0.14303752710673734</v>
      </c>
      <c r="E33" s="25">
        <v>0.21466247289326273</v>
      </c>
      <c r="F33">
        <v>150</v>
      </c>
      <c r="G33">
        <v>9.4700000000000006E-2</v>
      </c>
      <c r="H33">
        <v>4.7199999999999909E-2</v>
      </c>
      <c r="I33" s="32">
        <v>32</v>
      </c>
      <c r="J33">
        <v>2303</v>
      </c>
      <c r="K33" s="12">
        <f t="shared" si="0"/>
        <v>1.3002484191508581</v>
      </c>
      <c r="L33" s="12">
        <v>1.1436154867001327</v>
      </c>
      <c r="M33" s="111">
        <f t="shared" si="1"/>
        <v>0.12046385147925526</v>
      </c>
    </row>
    <row r="34" spans="1:13" x14ac:dyDescent="0.3">
      <c r="A34" t="s">
        <v>19</v>
      </c>
      <c r="B34" t="s">
        <v>41</v>
      </c>
      <c r="C34" t="s">
        <v>185</v>
      </c>
      <c r="D34" s="25">
        <v>0.14227363274837343</v>
      </c>
      <c r="E34" s="25">
        <v>0.21662636725162654</v>
      </c>
      <c r="F34">
        <v>150</v>
      </c>
      <c r="G34">
        <v>9.5300000000000051E-2</v>
      </c>
      <c r="H34">
        <v>4.8600000000000088E-2</v>
      </c>
      <c r="I34" s="32">
        <v>33</v>
      </c>
      <c r="J34">
        <v>2295</v>
      </c>
      <c r="K34" s="12">
        <f t="shared" si="0"/>
        <v>1.2957317073170731</v>
      </c>
      <c r="L34" s="12">
        <v>0.4835266285846172</v>
      </c>
      <c r="M34" s="111">
        <f t="shared" si="1"/>
        <v>0.62683121370410722</v>
      </c>
    </row>
    <row r="35" spans="1:13" x14ac:dyDescent="0.3">
      <c r="A35" t="s">
        <v>19</v>
      </c>
      <c r="B35" t="s">
        <v>41</v>
      </c>
      <c r="C35" t="s">
        <v>185</v>
      </c>
      <c r="D35" s="25">
        <v>0.14183757536185013</v>
      </c>
      <c r="E35" s="25">
        <v>0.21596242463814982</v>
      </c>
      <c r="F35">
        <v>150</v>
      </c>
      <c r="G35">
        <v>9.209999999999996E-2</v>
      </c>
      <c r="H35">
        <v>4.7899999999999943E-2</v>
      </c>
      <c r="I35" s="32">
        <v>34</v>
      </c>
      <c r="J35">
        <v>2359</v>
      </c>
      <c r="K35" s="12">
        <f t="shared" si="0"/>
        <v>1.3318654019873533</v>
      </c>
      <c r="L35" s="12">
        <v>0.5141076683399689</v>
      </c>
      <c r="M35" s="111">
        <f t="shared" si="1"/>
        <v>0.61399427631888392</v>
      </c>
    </row>
    <row r="36" spans="1:13" x14ac:dyDescent="0.3">
      <c r="A36" t="s">
        <v>20</v>
      </c>
      <c r="B36" t="s">
        <v>42</v>
      </c>
      <c r="C36" t="s">
        <v>185</v>
      </c>
      <c r="D36" s="25">
        <v>0.13965878183517078</v>
      </c>
      <c r="E36" s="25">
        <v>0.21524121816482925</v>
      </c>
      <c r="F36">
        <v>150</v>
      </c>
      <c r="G36" s="26">
        <v>9.7000000000000086E-2</v>
      </c>
      <c r="H36" s="26">
        <v>4.8200000000000021E-2</v>
      </c>
      <c r="I36" s="32">
        <v>35</v>
      </c>
      <c r="J36">
        <v>25713</v>
      </c>
      <c r="K36" s="12">
        <v>15.1377605086542</v>
      </c>
      <c r="L36" s="12"/>
      <c r="M36" s="111"/>
    </row>
    <row r="37" spans="1:13" x14ac:dyDescent="0.3">
      <c r="A37" t="s">
        <v>20</v>
      </c>
      <c r="B37" t="s">
        <v>42</v>
      </c>
      <c r="C37" t="s">
        <v>185</v>
      </c>
      <c r="D37" s="25">
        <v>0.14209858022169672</v>
      </c>
      <c r="E37" s="25">
        <v>0.21900141977830329</v>
      </c>
      <c r="F37">
        <v>150</v>
      </c>
      <c r="G37" s="26">
        <v>9.5500000000000029E-2</v>
      </c>
      <c r="H37" s="26">
        <v>4.8799999999999955E-2</v>
      </c>
      <c r="I37" s="32">
        <v>36</v>
      </c>
      <c r="J37" s="208">
        <v>27268.5</v>
      </c>
      <c r="K37" s="12">
        <v>16.05351465913105</v>
      </c>
      <c r="L37" s="12"/>
      <c r="M37" s="111"/>
    </row>
    <row r="38" spans="1:13" x14ac:dyDescent="0.3">
      <c r="A38" t="s">
        <v>21</v>
      </c>
      <c r="B38" t="s">
        <v>43</v>
      </c>
      <c r="C38" t="s">
        <v>185</v>
      </c>
      <c r="D38" s="25">
        <v>0.1385683722441938</v>
      </c>
      <c r="E38" s="25">
        <v>0.21493162775580621</v>
      </c>
      <c r="F38">
        <v>150</v>
      </c>
      <c r="G38">
        <v>9.7200000000000064E-2</v>
      </c>
      <c r="H38">
        <v>4.8699999999999966E-2</v>
      </c>
      <c r="I38" s="32">
        <v>37</v>
      </c>
      <c r="J38">
        <v>4985</v>
      </c>
      <c r="K38" s="12">
        <f>J38/1771.2</f>
        <v>2.814476061427281</v>
      </c>
      <c r="M38" s="111"/>
    </row>
    <row r="39" spans="1:13" x14ac:dyDescent="0.3">
      <c r="A39" t="s">
        <v>21</v>
      </c>
      <c r="B39" t="s">
        <v>43</v>
      </c>
      <c r="C39" t="s">
        <v>185</v>
      </c>
      <c r="D39" s="25">
        <v>0.13825478045410794</v>
      </c>
      <c r="E39" s="25">
        <v>0.2144452195458921</v>
      </c>
      <c r="F39">
        <v>150</v>
      </c>
      <c r="G39">
        <v>9.98E-2</v>
      </c>
      <c r="H39">
        <v>4.7999999999999932E-2</v>
      </c>
      <c r="I39" s="32">
        <v>38</v>
      </c>
      <c r="J39">
        <v>4672</v>
      </c>
      <c r="K39" s="12">
        <f t="shared" si="0"/>
        <v>2.6377597109304425</v>
      </c>
      <c r="M39" s="111"/>
    </row>
    <row r="40" spans="1:13" x14ac:dyDescent="0.3">
      <c r="A40" t="s">
        <v>22</v>
      </c>
      <c r="B40" t="s">
        <v>44</v>
      </c>
      <c r="C40" t="s">
        <v>185</v>
      </c>
      <c r="D40" s="25">
        <v>0.13653552428619389</v>
      </c>
      <c r="E40" s="25">
        <v>0.21366447571380612</v>
      </c>
      <c r="F40">
        <v>150</v>
      </c>
      <c r="G40">
        <v>9.9500000000000033E-2</v>
      </c>
      <c r="H40">
        <v>4.7499999999999987E-2</v>
      </c>
      <c r="I40" s="32">
        <v>39</v>
      </c>
      <c r="J40">
        <v>9423</v>
      </c>
      <c r="K40" s="12">
        <f t="shared" si="0"/>
        <v>5.3201219512195124</v>
      </c>
      <c r="M40" s="111"/>
    </row>
    <row r="41" spans="1:13" x14ac:dyDescent="0.3">
      <c r="A41" t="s">
        <v>22</v>
      </c>
      <c r="B41" t="s">
        <v>44</v>
      </c>
      <c r="C41" t="s">
        <v>185</v>
      </c>
      <c r="D41" s="25">
        <v>0.13961556609619083</v>
      </c>
      <c r="E41" s="25">
        <v>0.21848443390380914</v>
      </c>
      <c r="F41">
        <v>150</v>
      </c>
      <c r="G41">
        <v>9.9199999999999955E-2</v>
      </c>
      <c r="H41">
        <v>4.8000000000000043E-2</v>
      </c>
      <c r="I41" s="32">
        <v>40</v>
      </c>
      <c r="J41">
        <v>6044</v>
      </c>
      <c r="K41" s="12">
        <f t="shared" si="0"/>
        <v>3.4123757904245706</v>
      </c>
      <c r="M41" s="111"/>
    </row>
    <row r="42" spans="1:13" x14ac:dyDescent="0.3">
      <c r="A42" t="s">
        <v>48</v>
      </c>
      <c r="B42" t="s">
        <v>69</v>
      </c>
      <c r="C42" t="s">
        <v>185</v>
      </c>
      <c r="D42" s="25">
        <v>0.1391313827299836</v>
      </c>
      <c r="E42" s="25">
        <v>0.20976861727001636</v>
      </c>
      <c r="F42">
        <v>150</v>
      </c>
      <c r="G42">
        <v>9.7500000000000031E-2</v>
      </c>
      <c r="H42">
        <v>4.7700000000000076E-2</v>
      </c>
      <c r="I42" s="32">
        <v>41</v>
      </c>
      <c r="J42">
        <v>5574</v>
      </c>
      <c r="K42" s="12">
        <f t="shared" si="0"/>
        <v>3.147018970189702</v>
      </c>
      <c r="M42" s="111"/>
    </row>
    <row r="43" spans="1:13" x14ac:dyDescent="0.3">
      <c r="A43" t="s">
        <v>48</v>
      </c>
      <c r="B43" t="s">
        <v>69</v>
      </c>
      <c r="C43" t="s">
        <v>185</v>
      </c>
      <c r="D43" s="25">
        <v>0.14036757443667019</v>
      </c>
      <c r="E43" s="25">
        <v>0.21163242556332981</v>
      </c>
      <c r="F43">
        <v>150</v>
      </c>
      <c r="G43">
        <v>9.8999999999999977E-2</v>
      </c>
      <c r="H43">
        <v>4.8100000000000032E-2</v>
      </c>
      <c r="I43" s="32">
        <v>42</v>
      </c>
      <c r="J43">
        <v>5398</v>
      </c>
      <c r="K43" s="12">
        <f t="shared" si="0"/>
        <v>3.0476513098464317</v>
      </c>
      <c r="M43" s="111"/>
    </row>
    <row r="44" spans="1:13" x14ac:dyDescent="0.3">
      <c r="A44" t="s">
        <v>49</v>
      </c>
      <c r="B44" t="s">
        <v>70</v>
      </c>
      <c r="C44" t="s">
        <v>185</v>
      </c>
      <c r="D44" s="25">
        <v>0.14093623383278606</v>
      </c>
      <c r="E44" s="25">
        <v>0.21356376616721393</v>
      </c>
      <c r="F44">
        <v>150</v>
      </c>
      <c r="G44">
        <v>0.10039999999999993</v>
      </c>
      <c r="H44">
        <v>4.7499999999999987E-2</v>
      </c>
      <c r="I44" s="32">
        <v>43</v>
      </c>
      <c r="J44">
        <v>9347</v>
      </c>
      <c r="K44" s="12">
        <f t="shared" si="0"/>
        <v>5.2772131887985543</v>
      </c>
      <c r="M44" s="111"/>
    </row>
    <row r="45" spans="1:13" x14ac:dyDescent="0.3">
      <c r="A45" t="s">
        <v>49</v>
      </c>
      <c r="B45" t="s">
        <v>70</v>
      </c>
      <c r="C45" t="s">
        <v>185</v>
      </c>
      <c r="D45" s="25">
        <v>0.13950500550613434</v>
      </c>
      <c r="E45" s="25">
        <v>0.21139499449386562</v>
      </c>
      <c r="F45">
        <v>150</v>
      </c>
      <c r="G45">
        <v>9.6999999999999975E-2</v>
      </c>
      <c r="H45">
        <v>4.7799999999999954E-2</v>
      </c>
      <c r="I45" s="32">
        <v>44</v>
      </c>
      <c r="J45">
        <v>7054</v>
      </c>
      <c r="K45" s="12">
        <f t="shared" si="0"/>
        <v>3.9826106594399278</v>
      </c>
      <c r="M45" s="111"/>
    </row>
    <row r="46" spans="1:13" x14ac:dyDescent="0.3">
      <c r="A46" t="s">
        <v>53</v>
      </c>
      <c r="B46" t="s">
        <v>74</v>
      </c>
      <c r="C46" t="s">
        <v>185</v>
      </c>
      <c r="D46" s="25">
        <v>0.13711270384027527</v>
      </c>
      <c r="E46" s="25">
        <v>0.21208729615972474</v>
      </c>
      <c r="F46">
        <v>150</v>
      </c>
      <c r="G46">
        <v>9.5400000000000151E-2</v>
      </c>
      <c r="H46">
        <v>4.7900000000000054E-2</v>
      </c>
      <c r="I46" s="32">
        <v>45</v>
      </c>
      <c r="J46">
        <v>4824</v>
      </c>
      <c r="K46" s="12">
        <f t="shared" si="0"/>
        <v>2.7235772357723578</v>
      </c>
      <c r="M46" s="111"/>
    </row>
    <row r="47" spans="1:13" x14ac:dyDescent="0.3">
      <c r="A47" t="s">
        <v>53</v>
      </c>
      <c r="B47" t="s">
        <v>74</v>
      </c>
      <c r="C47" t="s">
        <v>185</v>
      </c>
      <c r="D47" s="25">
        <v>0.13923300338419706</v>
      </c>
      <c r="E47" s="25">
        <v>0.21536699661580297</v>
      </c>
      <c r="F47">
        <v>150</v>
      </c>
      <c r="G47">
        <v>9.8299999999999943E-2</v>
      </c>
      <c r="H47">
        <v>4.7700000000000076E-2</v>
      </c>
      <c r="I47" s="32">
        <v>46</v>
      </c>
      <c r="J47">
        <v>5398</v>
      </c>
      <c r="K47" s="12">
        <f t="shared" si="0"/>
        <v>3.0476513098464317</v>
      </c>
      <c r="M47" s="111"/>
    </row>
    <row r="48" spans="1:13" x14ac:dyDescent="0.3">
      <c r="A48" t="s">
        <v>54</v>
      </c>
      <c r="B48" t="s">
        <v>75</v>
      </c>
      <c r="C48" t="s">
        <v>185</v>
      </c>
      <c r="D48" s="25">
        <v>0.14045444383450847</v>
      </c>
      <c r="E48" s="25">
        <v>0.21744555616549158</v>
      </c>
      <c r="F48">
        <v>150</v>
      </c>
      <c r="G48">
        <v>9.8400000000000043E-2</v>
      </c>
      <c r="H48">
        <v>4.8000000000000043E-2</v>
      </c>
      <c r="I48" s="32">
        <v>47</v>
      </c>
      <c r="J48">
        <v>4193</v>
      </c>
      <c r="K48" s="12">
        <f t="shared" si="0"/>
        <v>2.3673215898825655</v>
      </c>
      <c r="M48" s="111"/>
    </row>
    <row r="49" spans="1:13" x14ac:dyDescent="0.3">
      <c r="A49" t="s">
        <v>54</v>
      </c>
      <c r="B49" t="s">
        <v>75</v>
      </c>
      <c r="C49" t="s">
        <v>185</v>
      </c>
      <c r="D49" s="25">
        <v>0.14041519978761421</v>
      </c>
      <c r="E49" s="25">
        <v>0.21738480021238579</v>
      </c>
      <c r="F49">
        <v>150</v>
      </c>
      <c r="G49">
        <v>9.9599999999999911E-2</v>
      </c>
      <c r="H49">
        <v>4.7900000000000054E-2</v>
      </c>
      <c r="I49" s="32">
        <v>48</v>
      </c>
      <c r="J49">
        <v>5028</v>
      </c>
      <c r="K49" s="12">
        <f t="shared" si="0"/>
        <v>2.8387533875338753</v>
      </c>
      <c r="M49" s="111"/>
    </row>
    <row r="50" spans="1:13" x14ac:dyDescent="0.3">
      <c r="A50" t="s">
        <v>58</v>
      </c>
      <c r="B50" t="s">
        <v>79</v>
      </c>
      <c r="C50" t="s">
        <v>185</v>
      </c>
      <c r="D50" s="25">
        <v>0.13924277816029015</v>
      </c>
      <c r="E50" s="25">
        <v>0.21515722183970984</v>
      </c>
      <c r="F50">
        <v>150</v>
      </c>
      <c r="G50">
        <v>9.4299999999999939E-2</v>
      </c>
      <c r="H50">
        <v>4.7499999999999876E-2</v>
      </c>
      <c r="I50" s="32">
        <v>49</v>
      </c>
      <c r="J50">
        <v>5032</v>
      </c>
      <c r="K50" s="12">
        <f t="shared" si="0"/>
        <v>2.8410117434507676</v>
      </c>
      <c r="M50" s="111"/>
    </row>
    <row r="51" spans="1:13" x14ac:dyDescent="0.3">
      <c r="A51" t="s">
        <v>58</v>
      </c>
      <c r="B51" t="s">
        <v>79</v>
      </c>
      <c r="C51" t="s">
        <v>185</v>
      </c>
      <c r="D51" s="25">
        <v>0.1396356753898621</v>
      </c>
      <c r="E51" s="25">
        <v>0.21576432461013795</v>
      </c>
      <c r="F51">
        <v>150</v>
      </c>
      <c r="G51">
        <v>9.8400000000000043E-2</v>
      </c>
      <c r="H51">
        <v>4.7900000000000054E-2</v>
      </c>
      <c r="I51" s="32">
        <v>50</v>
      </c>
      <c r="J51">
        <v>5032</v>
      </c>
      <c r="K51" s="12">
        <f>J51/1771.2</f>
        <v>2.8410117434507676</v>
      </c>
      <c r="M51" s="111"/>
    </row>
    <row r="52" spans="1:13" x14ac:dyDescent="0.3">
      <c r="A52" t="s">
        <v>59</v>
      </c>
      <c r="B52" t="s">
        <v>80</v>
      </c>
      <c r="C52" t="s">
        <v>185</v>
      </c>
      <c r="D52" s="25">
        <v>0.13781314020302715</v>
      </c>
      <c r="E52" s="25">
        <v>0.21408685979697278</v>
      </c>
      <c r="F52">
        <v>150</v>
      </c>
      <c r="G52">
        <v>9.6899999999999986E-2</v>
      </c>
      <c r="H52">
        <v>4.7800000000000065E-2</v>
      </c>
      <c r="I52" s="32">
        <v>51</v>
      </c>
      <c r="J52">
        <v>9983</v>
      </c>
      <c r="K52" s="12">
        <f t="shared" si="0"/>
        <v>5.6362917795844627</v>
      </c>
      <c r="M52" s="111"/>
    </row>
    <row r="53" spans="1:13" x14ac:dyDescent="0.3">
      <c r="A53" t="s">
        <v>59</v>
      </c>
      <c r="B53" t="s">
        <v>80</v>
      </c>
      <c r="C53" t="s">
        <v>185</v>
      </c>
      <c r="D53" s="25">
        <v>0.13624663676224252</v>
      </c>
      <c r="E53" s="25">
        <v>0.21165336323775741</v>
      </c>
      <c r="F53">
        <v>150</v>
      </c>
      <c r="G53">
        <v>9.8499999999999921E-2</v>
      </c>
      <c r="H53">
        <v>4.8500000000000099E-2</v>
      </c>
      <c r="I53" s="32">
        <v>52</v>
      </c>
      <c r="J53">
        <v>4565</v>
      </c>
      <c r="K53" s="12">
        <f t="shared" si="0"/>
        <v>2.5773486901535683</v>
      </c>
      <c r="M53" s="111"/>
    </row>
    <row r="54" spans="1:13" x14ac:dyDescent="0.3">
      <c r="A54" t="s">
        <v>63</v>
      </c>
      <c r="B54" t="s">
        <v>84</v>
      </c>
      <c r="C54" t="s">
        <v>185</v>
      </c>
      <c r="D54" s="25">
        <v>0.13916525248596093</v>
      </c>
      <c r="E54" s="25">
        <v>0.20993474751403912</v>
      </c>
      <c r="F54">
        <v>150</v>
      </c>
      <c r="G54">
        <v>9.7400000000000042E-2</v>
      </c>
      <c r="H54">
        <v>4.8299999999999899E-2</v>
      </c>
      <c r="I54" s="32">
        <v>53</v>
      </c>
      <c r="J54">
        <v>11725</v>
      </c>
      <c r="K54" s="12">
        <f t="shared" si="0"/>
        <v>6.6198057813911468</v>
      </c>
      <c r="M54" s="111"/>
    </row>
    <row r="55" spans="1:13" x14ac:dyDescent="0.3">
      <c r="A55" t="s">
        <v>63</v>
      </c>
      <c r="B55" t="s">
        <v>84</v>
      </c>
      <c r="C55" t="s">
        <v>185</v>
      </c>
      <c r="D55" s="25">
        <v>0.14151722896739077</v>
      </c>
      <c r="E55" s="25">
        <v>0.21348277103260918</v>
      </c>
      <c r="F55">
        <v>150</v>
      </c>
      <c r="G55">
        <v>9.8799999999999888E-2</v>
      </c>
      <c r="H55">
        <v>4.8399999999999999E-2</v>
      </c>
      <c r="I55" s="32">
        <v>54</v>
      </c>
      <c r="J55">
        <v>4677</v>
      </c>
      <c r="K55" s="12">
        <f t="shared" si="0"/>
        <v>2.6405826558265582</v>
      </c>
      <c r="M55" s="111"/>
    </row>
    <row r="56" spans="1:13" x14ac:dyDescent="0.3">
      <c r="A56" t="s">
        <v>64</v>
      </c>
      <c r="B56" t="s">
        <v>85</v>
      </c>
      <c r="C56" t="s">
        <v>185</v>
      </c>
      <c r="D56" s="25">
        <v>0.14073187550854246</v>
      </c>
      <c r="E56" s="25">
        <v>0.21376812449145755</v>
      </c>
      <c r="F56">
        <v>150</v>
      </c>
      <c r="G56">
        <v>9.7599999999999909E-2</v>
      </c>
      <c r="H56">
        <v>4.8299999999999899E-2</v>
      </c>
      <c r="I56" s="32">
        <v>55</v>
      </c>
      <c r="J56">
        <v>4655</v>
      </c>
      <c r="K56" s="12">
        <f t="shared" si="0"/>
        <v>2.6281616982836495</v>
      </c>
      <c r="M56" s="111"/>
    </row>
    <row r="57" spans="1:13" x14ac:dyDescent="0.3">
      <c r="A57" t="s">
        <v>64</v>
      </c>
      <c r="B57" t="s">
        <v>85</v>
      </c>
      <c r="C57" t="s">
        <v>185</v>
      </c>
      <c r="D57" s="25">
        <v>0.1382705563882238</v>
      </c>
      <c r="E57" s="25">
        <v>0.2100294436117762</v>
      </c>
      <c r="F57">
        <v>150</v>
      </c>
      <c r="G57">
        <v>9.7400000000000042E-2</v>
      </c>
      <c r="H57">
        <v>4.6500000000000097E-2</v>
      </c>
      <c r="I57" s="32">
        <v>56</v>
      </c>
      <c r="J57">
        <v>4167</v>
      </c>
      <c r="K57" s="12">
        <f t="shared" si="0"/>
        <v>2.3526422764227641</v>
      </c>
      <c r="M57" s="111"/>
    </row>
    <row r="58" spans="1:13" x14ac:dyDescent="0.3">
      <c r="A58" t="s">
        <v>45</v>
      </c>
      <c r="B58" t="s">
        <v>66</v>
      </c>
      <c r="C58" t="s">
        <v>186</v>
      </c>
      <c r="D58" s="25">
        <v>9.9964553648043131E-2</v>
      </c>
      <c r="E58" s="25">
        <v>0.25383544635195687</v>
      </c>
      <c r="F58">
        <v>149</v>
      </c>
      <c r="G58">
        <v>9.5000000000000084E-2</v>
      </c>
      <c r="H58">
        <v>4.7699999999999965E-2</v>
      </c>
      <c r="I58" s="32">
        <v>57</v>
      </c>
      <c r="J58">
        <v>38633</v>
      </c>
      <c r="K58" s="12">
        <f t="shared" si="0"/>
        <v>21.811766034327011</v>
      </c>
      <c r="M58" s="111"/>
    </row>
    <row r="59" spans="1:13" x14ac:dyDescent="0.3">
      <c r="A59" t="s">
        <v>45</v>
      </c>
      <c r="B59" t="s">
        <v>66</v>
      </c>
      <c r="C59" t="s">
        <v>186</v>
      </c>
      <c r="D59" s="25">
        <v>0.1031573163846823</v>
      </c>
      <c r="E59" s="25">
        <v>0.26194268361531775</v>
      </c>
      <c r="F59">
        <v>162</v>
      </c>
      <c r="G59">
        <v>9.6400000000000041E-2</v>
      </c>
      <c r="H59">
        <v>4.7800000000000065E-2</v>
      </c>
      <c r="I59" s="32">
        <v>58</v>
      </c>
      <c r="J59">
        <v>31343</v>
      </c>
      <c r="K59" s="12">
        <f t="shared" si="0"/>
        <v>17.695912375790424</v>
      </c>
      <c r="M59" s="111"/>
    </row>
    <row r="60" spans="1:13" x14ac:dyDescent="0.3">
      <c r="A60" t="s">
        <v>46</v>
      </c>
      <c r="B60" t="s">
        <v>67</v>
      </c>
      <c r="C60" t="s">
        <v>186</v>
      </c>
      <c r="D60" s="25">
        <v>0.1499778818340341</v>
      </c>
      <c r="E60" s="25">
        <v>0.2250221181659659</v>
      </c>
      <c r="F60">
        <v>147</v>
      </c>
      <c r="G60">
        <v>9.5300000000000051E-2</v>
      </c>
      <c r="H60">
        <v>4.8499999999999988E-2</v>
      </c>
      <c r="I60" s="32">
        <v>59</v>
      </c>
      <c r="J60">
        <v>3197</v>
      </c>
      <c r="K60" s="12">
        <f t="shared" si="0"/>
        <v>1.8049909665763324</v>
      </c>
      <c r="M60" s="111"/>
    </row>
    <row r="61" spans="1:13" x14ac:dyDescent="0.3">
      <c r="A61" t="s">
        <v>46</v>
      </c>
      <c r="B61" t="s">
        <v>67</v>
      </c>
      <c r="C61" t="s">
        <v>186</v>
      </c>
      <c r="D61" s="25">
        <v>0.14469866039347612</v>
      </c>
      <c r="E61" s="25">
        <v>0.21710133960652392</v>
      </c>
      <c r="F61">
        <v>135</v>
      </c>
      <c r="G61">
        <v>9.5099999999999962E-2</v>
      </c>
      <c r="H61">
        <v>4.8099999999999921E-2</v>
      </c>
      <c r="I61" s="32">
        <v>60</v>
      </c>
      <c r="J61">
        <v>4027</v>
      </c>
      <c r="K61" s="12">
        <f t="shared" si="0"/>
        <v>2.2735998193315266</v>
      </c>
      <c r="M61" s="111"/>
    </row>
    <row r="62" spans="1:13" x14ac:dyDescent="0.3">
      <c r="A62" t="s">
        <v>47</v>
      </c>
      <c r="B62" t="s">
        <v>68</v>
      </c>
      <c r="C62" t="s">
        <v>186</v>
      </c>
      <c r="D62" s="25">
        <v>0.1480621957050155</v>
      </c>
      <c r="E62" s="25">
        <v>0.22543780429498447</v>
      </c>
      <c r="F62">
        <v>145</v>
      </c>
      <c r="G62">
        <v>9.5600000000000129E-2</v>
      </c>
      <c r="H62">
        <v>4.7899999999999943E-2</v>
      </c>
      <c r="I62" s="32">
        <v>61</v>
      </c>
      <c r="J62">
        <v>10898</v>
      </c>
      <c r="K62" s="12">
        <f t="shared" si="0"/>
        <v>6.152890695573622</v>
      </c>
      <c r="M62" s="111"/>
    </row>
    <row r="63" spans="1:13" x14ac:dyDescent="0.3">
      <c r="A63" t="s">
        <v>47</v>
      </c>
      <c r="B63" t="s">
        <v>68</v>
      </c>
      <c r="C63" t="s">
        <v>186</v>
      </c>
      <c r="D63" s="25">
        <v>0.142829475535521</v>
      </c>
      <c r="E63" s="25">
        <v>0.21747052446447904</v>
      </c>
      <c r="F63">
        <v>162</v>
      </c>
      <c r="G63">
        <v>9.4799999999999995E-2</v>
      </c>
      <c r="H63">
        <v>4.7700000000000076E-2</v>
      </c>
      <c r="I63" s="32">
        <v>62</v>
      </c>
      <c r="J63">
        <v>10983</v>
      </c>
      <c r="K63" s="12">
        <f t="shared" si="0"/>
        <v>6.200880758807588</v>
      </c>
      <c r="M63" s="111"/>
    </row>
    <row r="64" spans="1:13" x14ac:dyDescent="0.3">
      <c r="A64" t="s">
        <v>48</v>
      </c>
      <c r="B64" t="s">
        <v>69</v>
      </c>
      <c r="C64" t="s">
        <v>186</v>
      </c>
      <c r="D64" s="25">
        <v>0.1486443432544419</v>
      </c>
      <c r="E64" s="25">
        <v>0.2243556567455581</v>
      </c>
      <c r="F64">
        <v>148</v>
      </c>
      <c r="G64">
        <v>9.540000000000004E-2</v>
      </c>
      <c r="H64">
        <v>4.7599999999999976E-2</v>
      </c>
      <c r="I64" s="32">
        <v>63</v>
      </c>
      <c r="J64">
        <v>17401</v>
      </c>
      <c r="K64" s="12">
        <f t="shared" si="0"/>
        <v>9.8244128274616074</v>
      </c>
      <c r="M64" s="111"/>
    </row>
    <row r="65" spans="1:13" x14ac:dyDescent="0.3">
      <c r="A65" t="s">
        <v>48</v>
      </c>
      <c r="B65" t="s">
        <v>69</v>
      </c>
      <c r="C65" t="s">
        <v>186</v>
      </c>
      <c r="D65" s="25">
        <v>0.14505775052176098</v>
      </c>
      <c r="E65" s="25">
        <v>0.21894224947823898</v>
      </c>
      <c r="F65">
        <v>134</v>
      </c>
      <c r="G65">
        <v>9.6000000000000085E-2</v>
      </c>
      <c r="H65">
        <v>4.7799999999999843E-2</v>
      </c>
      <c r="I65" s="32">
        <v>64</v>
      </c>
      <c r="J65">
        <v>15753</v>
      </c>
      <c r="K65" s="12">
        <f t="shared" si="0"/>
        <v>8.8939701897018963</v>
      </c>
      <c r="M65" s="111"/>
    </row>
    <row r="66" spans="1:13" x14ac:dyDescent="0.3">
      <c r="A66" t="s">
        <v>49</v>
      </c>
      <c r="B66" t="s">
        <v>70</v>
      </c>
      <c r="C66" t="s">
        <v>186</v>
      </c>
      <c r="D66" s="25">
        <v>0.14467889587578781</v>
      </c>
      <c r="E66" s="25">
        <v>0.21952110412421219</v>
      </c>
      <c r="F66">
        <v>151</v>
      </c>
      <c r="G66">
        <v>9.5399999999999929E-2</v>
      </c>
      <c r="H66">
        <v>4.7399999999999887E-2</v>
      </c>
      <c r="I66" s="32">
        <v>65</v>
      </c>
      <c r="J66">
        <v>19669</v>
      </c>
      <c r="K66" s="12">
        <f t="shared" si="0"/>
        <v>11.104900632339657</v>
      </c>
      <c r="M66" s="111"/>
    </row>
    <row r="67" spans="1:13" x14ac:dyDescent="0.3">
      <c r="A67" t="s">
        <v>49</v>
      </c>
      <c r="B67" t="s">
        <v>70</v>
      </c>
      <c r="C67" t="s">
        <v>186</v>
      </c>
      <c r="D67" s="25">
        <v>0.14543367320188333</v>
      </c>
      <c r="E67" s="25">
        <v>0.22066632679811662</v>
      </c>
      <c r="F67">
        <v>130</v>
      </c>
      <c r="G67">
        <v>9.4499999999999917E-2</v>
      </c>
      <c r="H67">
        <v>4.6800000000000064E-2</v>
      </c>
      <c r="I67" s="32">
        <v>66</v>
      </c>
      <c r="J67">
        <v>16136</v>
      </c>
      <c r="K67" s="12">
        <f t="shared" si="0"/>
        <v>9.1102077687443543</v>
      </c>
      <c r="M67" s="111"/>
    </row>
    <row r="68" spans="1:13" x14ac:dyDescent="0.3">
      <c r="A68" t="s">
        <v>50</v>
      </c>
      <c r="B68" t="s">
        <v>71</v>
      </c>
      <c r="C68" t="s">
        <v>186</v>
      </c>
      <c r="D68" s="25">
        <v>0.10497248191586266</v>
      </c>
      <c r="E68" s="25">
        <v>0.26712751808413732</v>
      </c>
      <c r="F68">
        <v>148</v>
      </c>
      <c r="G68">
        <v>9.4000000000000083E-2</v>
      </c>
      <c r="H68">
        <v>4.7000000000000042E-2</v>
      </c>
      <c r="I68" s="32">
        <v>67</v>
      </c>
      <c r="J68">
        <v>15600</v>
      </c>
      <c r="K68" s="12">
        <f t="shared" si="0"/>
        <v>8.8075880758807585</v>
      </c>
      <c r="M68" s="111"/>
    </row>
    <row r="69" spans="1:13" x14ac:dyDescent="0.3">
      <c r="A69" t="s">
        <v>50</v>
      </c>
      <c r="B69" t="s">
        <v>71</v>
      </c>
      <c r="C69" t="s">
        <v>186</v>
      </c>
      <c r="D69" s="25">
        <v>0.10409794632344349</v>
      </c>
      <c r="E69" s="25">
        <v>0.2649020536765565</v>
      </c>
      <c r="F69">
        <v>139</v>
      </c>
      <c r="G69">
        <v>9.6699999999999897E-2</v>
      </c>
      <c r="H69">
        <v>4.7599999999999976E-2</v>
      </c>
      <c r="I69" s="32">
        <v>68</v>
      </c>
      <c r="J69">
        <v>13231</v>
      </c>
      <c r="K69" s="12">
        <f>J69/1771.2</f>
        <v>7.4700767841011739</v>
      </c>
      <c r="M69" s="111"/>
    </row>
    <row r="70" spans="1:13" x14ac:dyDescent="0.3">
      <c r="A70" t="s">
        <v>51</v>
      </c>
      <c r="B70" t="s">
        <v>72</v>
      </c>
      <c r="C70" t="s">
        <v>186</v>
      </c>
      <c r="D70" s="25">
        <v>0.14490398741685964</v>
      </c>
      <c r="E70" s="25">
        <v>0.22409601258314035</v>
      </c>
      <c r="F70">
        <v>145</v>
      </c>
      <c r="G70">
        <v>9.099999999999997E-2</v>
      </c>
      <c r="H70">
        <v>4.2700000000000071E-2</v>
      </c>
      <c r="I70" s="32">
        <v>69</v>
      </c>
      <c r="J70">
        <v>3993</v>
      </c>
      <c r="K70" s="12">
        <f>J70/1771.2</f>
        <v>2.2544037940379402</v>
      </c>
      <c r="L70" s="12">
        <v>0.35427846056199874</v>
      </c>
      <c r="M70" s="111">
        <f>(K70-L70)/K70</f>
        <v>0.84285048601367096</v>
      </c>
    </row>
    <row r="71" spans="1:13" x14ac:dyDescent="0.3">
      <c r="A71" t="s">
        <v>51</v>
      </c>
      <c r="B71" t="s">
        <v>72</v>
      </c>
      <c r="C71" t="s">
        <v>186</v>
      </c>
      <c r="D71" s="25">
        <v>0.14097705008848946</v>
      </c>
      <c r="E71" s="25">
        <v>0.21802294991151053</v>
      </c>
      <c r="F71">
        <v>140</v>
      </c>
      <c r="G71">
        <v>9.1600000000000015E-2</v>
      </c>
      <c r="H71">
        <v>4.8800000000000066E-2</v>
      </c>
      <c r="I71" s="32">
        <v>70</v>
      </c>
      <c r="J71">
        <v>3773</v>
      </c>
      <c r="K71" s="12">
        <f t="shared" ref="K71:K85" si="2">J71/1771.2</f>
        <v>2.1301942186088527</v>
      </c>
      <c r="L71" s="12">
        <v>0.34389244706018118</v>
      </c>
      <c r="M71" s="111">
        <f t="shared" si="1"/>
        <v>0.83856286715266559</v>
      </c>
    </row>
    <row r="72" spans="1:13" x14ac:dyDescent="0.3">
      <c r="A72" t="s">
        <v>52</v>
      </c>
      <c r="B72" t="s">
        <v>73</v>
      </c>
      <c r="C72" t="s">
        <v>186</v>
      </c>
      <c r="D72" s="25">
        <v>0.14577897655965347</v>
      </c>
      <c r="E72" s="25">
        <v>0.22322102344034653</v>
      </c>
      <c r="F72">
        <v>148</v>
      </c>
      <c r="G72">
        <v>9.2799999999999994E-2</v>
      </c>
      <c r="H72">
        <v>4.9299999999999899E-2</v>
      </c>
      <c r="I72" s="32">
        <v>71</v>
      </c>
      <c r="J72">
        <v>2198</v>
      </c>
      <c r="K72" s="12">
        <f t="shared" si="2"/>
        <v>1.24096657633243</v>
      </c>
      <c r="L72" s="12">
        <v>0.30350239455311295</v>
      </c>
      <c r="M72" s="111">
        <f t="shared" si="1"/>
        <v>0.75543064548113115</v>
      </c>
    </row>
    <row r="73" spans="1:13" x14ac:dyDescent="0.3">
      <c r="A73" t="s">
        <v>52</v>
      </c>
      <c r="B73" t="s">
        <v>73</v>
      </c>
      <c r="C73" t="s">
        <v>186</v>
      </c>
      <c r="D73" s="25">
        <v>0.14273697623577994</v>
      </c>
      <c r="E73" s="25">
        <v>0.21856302376422007</v>
      </c>
      <c r="F73">
        <v>140</v>
      </c>
      <c r="G73">
        <v>9.2799999999999883E-2</v>
      </c>
      <c r="H73">
        <v>4.6899999999999942E-2</v>
      </c>
      <c r="I73" s="32">
        <v>72</v>
      </c>
      <c r="J73">
        <v>2123</v>
      </c>
      <c r="K73" s="12">
        <f t="shared" si="2"/>
        <v>1.1986224028906955</v>
      </c>
      <c r="L73" s="12">
        <v>0.27926836304887198</v>
      </c>
      <c r="M73" s="111">
        <f t="shared" si="1"/>
        <v>0.76700889089394164</v>
      </c>
    </row>
    <row r="74" spans="1:13" x14ac:dyDescent="0.3">
      <c r="A74" t="s">
        <v>53</v>
      </c>
      <c r="B74" t="s">
        <v>74</v>
      </c>
      <c r="C74" t="s">
        <v>186</v>
      </c>
      <c r="D74" s="25">
        <v>0.14181293188548866</v>
      </c>
      <c r="E74" s="25">
        <v>0.21958706811451134</v>
      </c>
      <c r="F74">
        <v>168</v>
      </c>
      <c r="G74">
        <v>9.5600000000000018E-2</v>
      </c>
      <c r="H74">
        <v>4.7999999999999932E-2</v>
      </c>
      <c r="I74" s="32">
        <v>73</v>
      </c>
      <c r="J74">
        <v>5976</v>
      </c>
      <c r="K74" s="12">
        <f t="shared" si="2"/>
        <v>3.3739837398373984</v>
      </c>
      <c r="M74" s="111"/>
    </row>
    <row r="75" spans="1:13" x14ac:dyDescent="0.3">
      <c r="A75" t="s">
        <v>53</v>
      </c>
      <c r="B75" t="s">
        <v>74</v>
      </c>
      <c r="C75" t="s">
        <v>186</v>
      </c>
      <c r="D75" s="25">
        <v>0.14302936821322804</v>
      </c>
      <c r="E75" s="25">
        <v>0.22147063178677195</v>
      </c>
      <c r="F75">
        <v>131</v>
      </c>
      <c r="G75">
        <v>9.5600000000000018E-2</v>
      </c>
      <c r="H75">
        <v>4.8599999999999977E-2</v>
      </c>
      <c r="I75" s="32">
        <v>74</v>
      </c>
      <c r="J75">
        <v>7836</v>
      </c>
      <c r="K75" s="12">
        <f t="shared" si="2"/>
        <v>4.424119241192412</v>
      </c>
      <c r="M75" s="111"/>
    </row>
    <row r="76" spans="1:13" x14ac:dyDescent="0.3">
      <c r="A76" t="s">
        <v>54</v>
      </c>
      <c r="B76" t="s">
        <v>75</v>
      </c>
      <c r="C76" t="s">
        <v>186</v>
      </c>
      <c r="D76" s="25">
        <v>0.14181717916587411</v>
      </c>
      <c r="E76" s="25">
        <v>0.21988282083412594</v>
      </c>
      <c r="F76">
        <v>139</v>
      </c>
      <c r="G76">
        <v>9.5500000000000029E-2</v>
      </c>
      <c r="H76">
        <v>4.8200000000000021E-2</v>
      </c>
      <c r="I76" s="32">
        <v>75</v>
      </c>
      <c r="J76">
        <v>17333</v>
      </c>
      <c r="K76" s="12">
        <f t="shared" si="2"/>
        <v>9.7860207768744356</v>
      </c>
      <c r="M76" s="111"/>
    </row>
    <row r="77" spans="1:13" x14ac:dyDescent="0.3">
      <c r="A77" t="s">
        <v>54</v>
      </c>
      <c r="B77" t="s">
        <v>75</v>
      </c>
      <c r="C77" t="s">
        <v>186</v>
      </c>
      <c r="D77" s="25">
        <v>0.13922941753332013</v>
      </c>
      <c r="E77" s="25">
        <v>0.21587058246667989</v>
      </c>
      <c r="F77">
        <v>141</v>
      </c>
      <c r="G77">
        <v>9.4799999999999995E-2</v>
      </c>
      <c r="H77">
        <v>4.8899999999999944E-2</v>
      </c>
      <c r="I77" s="32">
        <v>76</v>
      </c>
      <c r="J77">
        <v>16685</v>
      </c>
      <c r="K77" s="12">
        <f t="shared" si="2"/>
        <v>9.420167118337849</v>
      </c>
      <c r="M77" s="111"/>
    </row>
    <row r="78" spans="1:13" x14ac:dyDescent="0.3">
      <c r="A78" t="s">
        <v>55</v>
      </c>
      <c r="B78" t="s">
        <v>76</v>
      </c>
      <c r="C78" t="s">
        <v>186</v>
      </c>
      <c r="D78" s="25">
        <v>0.10267614250856896</v>
      </c>
      <c r="E78" s="25">
        <v>0.25872385749143101</v>
      </c>
      <c r="F78">
        <v>153</v>
      </c>
      <c r="G78">
        <v>9.5599999999999907E-2</v>
      </c>
      <c r="H78">
        <v>4.9800000000000066E-2</v>
      </c>
      <c r="I78" s="32">
        <v>77</v>
      </c>
      <c r="J78">
        <v>24332</v>
      </c>
      <c r="K78" s="12">
        <f t="shared" si="2"/>
        <v>13.73757904245709</v>
      </c>
      <c r="M78" s="111"/>
    </row>
    <row r="79" spans="1:13" x14ac:dyDescent="0.3">
      <c r="A79" t="s">
        <v>55</v>
      </c>
      <c r="B79" t="s">
        <v>76</v>
      </c>
      <c r="C79" t="s">
        <v>186</v>
      </c>
      <c r="D79" s="25">
        <v>0.10307389181546436</v>
      </c>
      <c r="E79" s="25">
        <v>0.25972610818453562</v>
      </c>
      <c r="F79">
        <v>160</v>
      </c>
      <c r="G79">
        <v>9.5499999999999918E-2</v>
      </c>
      <c r="H79">
        <v>4.8299999999999899E-2</v>
      </c>
      <c r="I79" s="32">
        <v>78</v>
      </c>
      <c r="J79">
        <v>25779</v>
      </c>
      <c r="K79" s="12">
        <f t="shared" si="2"/>
        <v>14.554539295392953</v>
      </c>
      <c r="M79" s="111"/>
    </row>
    <row r="80" spans="1:13" x14ac:dyDescent="0.3">
      <c r="A80" t="s">
        <v>56</v>
      </c>
      <c r="B80" t="s">
        <v>77</v>
      </c>
      <c r="C80" t="s">
        <v>186</v>
      </c>
      <c r="D80" s="25">
        <v>0.14334366598825199</v>
      </c>
      <c r="E80" s="25">
        <v>0.22025633401174805</v>
      </c>
      <c r="F80">
        <v>151</v>
      </c>
      <c r="G80">
        <v>9.3999999999999972E-2</v>
      </c>
      <c r="H80">
        <v>4.8500000000000099E-2</v>
      </c>
      <c r="I80" s="32">
        <v>79</v>
      </c>
      <c r="J80">
        <v>8028</v>
      </c>
      <c r="K80" s="12">
        <f t="shared" si="2"/>
        <v>4.5325203252032518</v>
      </c>
      <c r="M80" s="111"/>
    </row>
    <row r="81" spans="1:13" x14ac:dyDescent="0.3">
      <c r="A81" t="s">
        <v>56</v>
      </c>
      <c r="B81" t="s">
        <v>77</v>
      </c>
      <c r="C81" t="s">
        <v>186</v>
      </c>
      <c r="D81" s="25">
        <v>0.1412936465626774</v>
      </c>
      <c r="E81" s="25">
        <v>0.21710635343732257</v>
      </c>
      <c r="F81">
        <v>143</v>
      </c>
      <c r="G81">
        <v>9.4500000000000028E-2</v>
      </c>
      <c r="H81">
        <v>4.8099999999999921E-2</v>
      </c>
      <c r="I81" s="32">
        <v>80</v>
      </c>
      <c r="J81">
        <v>10335</v>
      </c>
      <c r="K81" s="12">
        <f t="shared" si="2"/>
        <v>5.8350271002710024</v>
      </c>
      <c r="M81" s="111"/>
    </row>
    <row r="82" spans="1:13" x14ac:dyDescent="0.3">
      <c r="A82" t="s">
        <v>57</v>
      </c>
      <c r="B82" t="s">
        <v>78</v>
      </c>
      <c r="C82" t="s">
        <v>186</v>
      </c>
      <c r="D82" s="25">
        <v>0.14522017332614745</v>
      </c>
      <c r="E82" s="25">
        <v>0.22127982667385263</v>
      </c>
      <c r="F82">
        <v>165</v>
      </c>
      <c r="G82">
        <v>9.4899999999999984E-2</v>
      </c>
      <c r="H82">
        <v>4.7799999999999954E-2</v>
      </c>
      <c r="I82" s="32">
        <v>81</v>
      </c>
      <c r="J82">
        <v>2955</v>
      </c>
      <c r="K82" s="12">
        <f t="shared" si="2"/>
        <v>1.6683604336043361</v>
      </c>
      <c r="M82" s="111"/>
    </row>
    <row r="83" spans="1:13" x14ac:dyDescent="0.3">
      <c r="A83" t="s">
        <v>57</v>
      </c>
      <c r="B83" t="s">
        <v>78</v>
      </c>
      <c r="C83" t="s">
        <v>186</v>
      </c>
      <c r="D83" s="25">
        <v>0.14371447985100594</v>
      </c>
      <c r="E83" s="25">
        <v>0.21898552014899411</v>
      </c>
      <c r="F83">
        <v>145</v>
      </c>
      <c r="G83">
        <v>9.5600000000000018E-2</v>
      </c>
      <c r="H83">
        <v>4.7600000000000087E-2</v>
      </c>
      <c r="I83" s="32">
        <v>82</v>
      </c>
      <c r="J83">
        <v>3798</v>
      </c>
      <c r="K83" s="12">
        <f t="shared" si="2"/>
        <v>2.1443089430894307</v>
      </c>
      <c r="M83" s="111"/>
    </row>
    <row r="84" spans="1:13" x14ac:dyDescent="0.3">
      <c r="A84" t="s">
        <v>58</v>
      </c>
      <c r="B84" t="s">
        <v>79</v>
      </c>
      <c r="C84" t="s">
        <v>186</v>
      </c>
      <c r="D84" s="25">
        <v>0.14373725756063865</v>
      </c>
      <c r="E84" s="25">
        <v>0.22246274243936137</v>
      </c>
      <c r="F84">
        <v>148</v>
      </c>
      <c r="G84">
        <v>9.4400000000000039E-2</v>
      </c>
      <c r="H84">
        <v>4.9099999999999921E-2</v>
      </c>
      <c r="I84" s="32">
        <v>83</v>
      </c>
      <c r="J84">
        <v>6254</v>
      </c>
      <c r="K84" s="12">
        <f t="shared" si="2"/>
        <v>3.5309394760614272</v>
      </c>
      <c r="M84" s="111"/>
    </row>
    <row r="85" spans="1:13" x14ac:dyDescent="0.3">
      <c r="A85" t="s">
        <v>58</v>
      </c>
      <c r="B85" t="s">
        <v>79</v>
      </c>
      <c r="C85" t="s">
        <v>186</v>
      </c>
      <c r="D85" s="25">
        <v>0.1425597267777825</v>
      </c>
      <c r="E85" s="25">
        <v>0.22064027322221746</v>
      </c>
      <c r="F85">
        <v>131</v>
      </c>
      <c r="G85">
        <v>9.4799999999999995E-2</v>
      </c>
      <c r="H85">
        <v>4.9100000000000033E-2</v>
      </c>
      <c r="I85" s="32">
        <v>84</v>
      </c>
      <c r="J85">
        <v>6689</v>
      </c>
      <c r="K85" s="12">
        <f t="shared" si="2"/>
        <v>3.776535682023487</v>
      </c>
      <c r="M85" s="111"/>
    </row>
    <row r="86" spans="1:13" x14ac:dyDescent="0.3">
      <c r="A86" t="s">
        <v>59</v>
      </c>
      <c r="B86" t="s">
        <v>80</v>
      </c>
      <c r="C86" t="s">
        <v>186</v>
      </c>
      <c r="D86" s="25">
        <v>0.14216583543737996</v>
      </c>
      <c r="E86" s="25">
        <v>0.22103416456262004</v>
      </c>
      <c r="F86">
        <v>140</v>
      </c>
      <c r="G86" s="26">
        <v>9.4299999999999939E-2</v>
      </c>
      <c r="H86" s="26">
        <v>4.830000000000001E-2</v>
      </c>
      <c r="I86" s="32">
        <v>85</v>
      </c>
      <c r="J86">
        <v>6081</v>
      </c>
      <c r="K86" s="12">
        <v>3.5800070646414701</v>
      </c>
      <c r="M86" s="111"/>
    </row>
    <row r="87" spans="1:13" x14ac:dyDescent="0.3">
      <c r="A87" t="s">
        <v>59</v>
      </c>
      <c r="B87" t="s">
        <v>80</v>
      </c>
      <c r="C87" t="s">
        <v>186</v>
      </c>
      <c r="D87" s="25">
        <v>0.14251811861990649</v>
      </c>
      <c r="E87" s="25">
        <v>0.22158188138009347</v>
      </c>
      <c r="F87">
        <v>148</v>
      </c>
      <c r="G87" s="26">
        <v>9.5600000000000129E-2</v>
      </c>
      <c r="H87" s="26">
        <v>4.7899999999999943E-2</v>
      </c>
      <c r="I87" s="32">
        <v>86</v>
      </c>
      <c r="J87">
        <v>7992.5</v>
      </c>
      <c r="K87" s="12">
        <v>4.7053455787118805</v>
      </c>
      <c r="M87" s="111"/>
    </row>
    <row r="88" spans="1:13" x14ac:dyDescent="0.3">
      <c r="A88" t="s">
        <v>60</v>
      </c>
      <c r="B88" t="s">
        <v>81</v>
      </c>
      <c r="C88" t="s">
        <v>186</v>
      </c>
      <c r="D88" s="25">
        <v>0.10333868544338452</v>
      </c>
      <c r="E88" s="25">
        <v>0.26386131455661549</v>
      </c>
      <c r="F88">
        <v>135</v>
      </c>
      <c r="G88" s="26">
        <v>9.639999999999993E-2</v>
      </c>
      <c r="H88" s="26">
        <v>4.9100000000000033E-2</v>
      </c>
      <c r="I88" s="32">
        <v>87</v>
      </c>
      <c r="J88">
        <v>14317.5</v>
      </c>
      <c r="K88" s="12">
        <v>8.4290003532320732</v>
      </c>
      <c r="M88" s="111"/>
    </row>
    <row r="89" spans="1:13" x14ac:dyDescent="0.3">
      <c r="A89" t="s">
        <v>60</v>
      </c>
      <c r="B89" t="s">
        <v>81</v>
      </c>
      <c r="C89" t="s">
        <v>186</v>
      </c>
      <c r="D89" s="25">
        <v>0.1012280096786095</v>
      </c>
      <c r="E89" s="25">
        <v>0.25847199032139045</v>
      </c>
      <c r="F89">
        <v>140</v>
      </c>
      <c r="G89" s="26">
        <v>9.4700000000000006E-2</v>
      </c>
      <c r="H89" s="26">
        <v>4.8699999999999966E-2</v>
      </c>
      <c r="I89" s="32">
        <v>88</v>
      </c>
      <c r="J89">
        <v>7744</v>
      </c>
      <c r="K89" s="12">
        <v>4.559048628282115</v>
      </c>
      <c r="M89" s="111"/>
    </row>
    <row r="90" spans="1:13" x14ac:dyDescent="0.3">
      <c r="A90" t="s">
        <v>61</v>
      </c>
      <c r="B90" t="s">
        <v>82</v>
      </c>
      <c r="C90" t="s">
        <v>186</v>
      </c>
      <c r="D90" s="25">
        <v>0.14267192180884009</v>
      </c>
      <c r="E90" s="25">
        <v>0.22382807819115991</v>
      </c>
      <c r="F90">
        <v>140</v>
      </c>
      <c r="G90" s="26">
        <v>9.5700000000000007E-2</v>
      </c>
      <c r="H90" s="26">
        <v>4.8100000000000032E-2</v>
      </c>
      <c r="I90" s="32">
        <v>89</v>
      </c>
      <c r="J90">
        <v>2844.5</v>
      </c>
      <c r="K90" s="12">
        <v>1.6746143883197928</v>
      </c>
      <c r="M90" s="111"/>
    </row>
    <row r="91" spans="1:13" x14ac:dyDescent="0.3">
      <c r="A91" t="s">
        <v>61</v>
      </c>
      <c r="B91" t="s">
        <v>82</v>
      </c>
      <c r="C91" t="s">
        <v>186</v>
      </c>
      <c r="D91" s="25">
        <v>0.13718304296162412</v>
      </c>
      <c r="E91" s="25">
        <v>0.21521695703837584</v>
      </c>
      <c r="F91">
        <v>140</v>
      </c>
      <c r="G91" s="26">
        <v>9.4999999999999973E-2</v>
      </c>
      <c r="H91" s="26">
        <v>4.8099999999999921E-2</v>
      </c>
      <c r="I91" s="32">
        <v>90</v>
      </c>
      <c r="J91">
        <v>3474</v>
      </c>
      <c r="K91" s="12">
        <v>2.0452137054044508</v>
      </c>
      <c r="M91" s="111"/>
    </row>
    <row r="92" spans="1:13" x14ac:dyDescent="0.3">
      <c r="A92" t="s">
        <v>62</v>
      </c>
      <c r="B92" t="s">
        <v>83</v>
      </c>
      <c r="C92" t="s">
        <v>186</v>
      </c>
      <c r="D92" s="25">
        <v>0.14271592751735909</v>
      </c>
      <c r="E92" s="25">
        <v>0.21908407248264095</v>
      </c>
      <c r="F92">
        <v>150</v>
      </c>
      <c r="G92" s="26">
        <v>9.2600000000000016E-2</v>
      </c>
      <c r="H92" s="26">
        <v>4.8200000000000132E-2</v>
      </c>
      <c r="I92" s="32">
        <v>91</v>
      </c>
      <c r="J92">
        <v>1052</v>
      </c>
      <c r="K92" s="215">
        <v>0.61933356882138235</v>
      </c>
      <c r="M92" s="111"/>
    </row>
    <row r="93" spans="1:13" x14ac:dyDescent="0.3">
      <c r="A93" t="s">
        <v>62</v>
      </c>
      <c r="B93" t="s">
        <v>83</v>
      </c>
      <c r="C93" t="s">
        <v>186</v>
      </c>
      <c r="D93" s="25">
        <v>0.14405709433206065</v>
      </c>
      <c r="E93" s="25">
        <v>0.2211429056679394</v>
      </c>
      <c r="F93">
        <v>175</v>
      </c>
      <c r="G93" s="26">
        <v>9.3500000000000028E-2</v>
      </c>
      <c r="H93" s="26">
        <v>4.8099999999999921E-2</v>
      </c>
      <c r="I93" s="32">
        <v>92</v>
      </c>
      <c r="J93">
        <v>955</v>
      </c>
      <c r="K93" s="215">
        <v>0.56222771694336515</v>
      </c>
      <c r="M93" s="111"/>
    </row>
    <row r="94" spans="1:13" x14ac:dyDescent="0.3">
      <c r="A94" t="s">
        <v>63</v>
      </c>
      <c r="B94" t="s">
        <v>84</v>
      </c>
      <c r="C94" t="s">
        <v>186</v>
      </c>
      <c r="D94" s="25">
        <v>0.14495890887177665</v>
      </c>
      <c r="E94" s="25">
        <v>0.21894109112822338</v>
      </c>
      <c r="F94">
        <v>160</v>
      </c>
      <c r="G94" s="26">
        <v>9.5399999999999929E-2</v>
      </c>
      <c r="H94" s="26">
        <v>4.8399999999999999E-2</v>
      </c>
      <c r="I94" s="32">
        <v>93</v>
      </c>
      <c r="J94">
        <v>1981.5</v>
      </c>
      <c r="K94" s="12">
        <v>1.1665489226421759</v>
      </c>
      <c r="M94" s="111"/>
    </row>
    <row r="95" spans="1:13" x14ac:dyDescent="0.3">
      <c r="A95" t="s">
        <v>63</v>
      </c>
      <c r="B95" t="s">
        <v>84</v>
      </c>
      <c r="C95" t="s">
        <v>186</v>
      </c>
      <c r="D95" s="25">
        <v>0.14543692670812217</v>
      </c>
      <c r="E95" s="25">
        <v>0.21966307329187787</v>
      </c>
      <c r="F95">
        <v>160</v>
      </c>
      <c r="G95" s="26">
        <v>9.6099999999999963E-2</v>
      </c>
      <c r="H95" s="26">
        <v>4.8499999999999988E-2</v>
      </c>
      <c r="I95" s="32">
        <v>94</v>
      </c>
      <c r="J95">
        <v>1684</v>
      </c>
      <c r="K95" s="215">
        <v>0.99140468621217481</v>
      </c>
      <c r="M95" s="111"/>
    </row>
    <row r="96" spans="1:13" x14ac:dyDescent="0.3">
      <c r="A96" t="s">
        <v>64</v>
      </c>
      <c r="B96" t="s">
        <v>85</v>
      </c>
      <c r="C96" t="s">
        <v>186</v>
      </c>
      <c r="D96" s="25">
        <v>0.14562005135728362</v>
      </c>
      <c r="E96" s="25">
        <v>0.22157994864271635</v>
      </c>
      <c r="F96">
        <v>175</v>
      </c>
      <c r="G96" s="26">
        <v>9.4999999999999973E-2</v>
      </c>
      <c r="H96" s="26">
        <v>4.840000000000011E-2</v>
      </c>
      <c r="I96" s="32">
        <v>95</v>
      </c>
      <c r="J96">
        <v>4244</v>
      </c>
      <c r="K96" s="12">
        <v>2.4985281996938657</v>
      </c>
      <c r="M96" s="111"/>
    </row>
    <row r="97" spans="1:13" x14ac:dyDescent="0.3">
      <c r="A97" t="s">
        <v>64</v>
      </c>
      <c r="B97" t="s">
        <v>85</v>
      </c>
      <c r="C97" t="s">
        <v>186</v>
      </c>
      <c r="D97" s="25">
        <v>0.14296304061628742</v>
      </c>
      <c r="E97" s="25">
        <v>0.21753695938371254</v>
      </c>
      <c r="F97">
        <v>160</v>
      </c>
      <c r="G97" s="26">
        <v>9.3600000000000017E-2</v>
      </c>
      <c r="H97" s="26">
        <v>4.830000000000001E-2</v>
      </c>
      <c r="I97" s="32">
        <v>96</v>
      </c>
      <c r="J97">
        <v>3325.5</v>
      </c>
      <c r="K97" s="12">
        <v>1.9577887672200638</v>
      </c>
      <c r="M97" s="111"/>
    </row>
    <row r="98" spans="1:13" x14ac:dyDescent="0.3">
      <c r="A98" t="s">
        <v>7</v>
      </c>
      <c r="B98" t="s">
        <v>28</v>
      </c>
      <c r="C98" t="s">
        <v>186</v>
      </c>
      <c r="D98" s="25">
        <v>0.14227519480659387</v>
      </c>
      <c r="E98" s="25">
        <v>0.22302480519340612</v>
      </c>
      <c r="F98">
        <v>170</v>
      </c>
      <c r="G98" s="26">
        <v>9.4899999999999873E-2</v>
      </c>
      <c r="H98" s="26">
        <v>4.819999999999991E-2</v>
      </c>
      <c r="I98" s="32">
        <v>97</v>
      </c>
      <c r="J98">
        <v>816.5</v>
      </c>
      <c r="K98" s="215">
        <v>0.48068997998351587</v>
      </c>
      <c r="M98" s="111"/>
    </row>
    <row r="99" spans="1:13" x14ac:dyDescent="0.3">
      <c r="A99" t="s">
        <v>7</v>
      </c>
      <c r="B99" t="s">
        <v>28</v>
      </c>
      <c r="C99" t="s">
        <v>186</v>
      </c>
      <c r="D99" s="25">
        <v>0.13787412800857987</v>
      </c>
      <c r="E99" s="25">
        <v>0.21612587199142011</v>
      </c>
      <c r="F99">
        <v>160</v>
      </c>
      <c r="G99" s="26">
        <v>9.3600000000000017E-2</v>
      </c>
      <c r="H99" s="26">
        <v>4.7699999999999965E-2</v>
      </c>
      <c r="I99" s="32">
        <v>98</v>
      </c>
      <c r="J99">
        <v>901.5</v>
      </c>
      <c r="K99" s="215">
        <v>0.5307311903920876</v>
      </c>
      <c r="M99" s="111"/>
    </row>
    <row r="100" spans="1:13" x14ac:dyDescent="0.3">
      <c r="A100" t="s">
        <v>8</v>
      </c>
      <c r="B100" t="s">
        <v>29</v>
      </c>
      <c r="C100" t="s">
        <v>186</v>
      </c>
      <c r="D100" s="25">
        <v>0.14589858743217815</v>
      </c>
      <c r="E100" s="25">
        <v>0.22060141256782184</v>
      </c>
      <c r="F100">
        <v>170</v>
      </c>
      <c r="G100" s="26">
        <v>9.4700000000000117E-2</v>
      </c>
      <c r="H100" s="26">
        <v>4.8100000000000032E-2</v>
      </c>
      <c r="I100" s="32">
        <v>99</v>
      </c>
      <c r="J100">
        <v>761</v>
      </c>
      <c r="K100" s="215">
        <v>0.44801601318733075</v>
      </c>
      <c r="M100" s="111"/>
    </row>
    <row r="101" spans="1:13" x14ac:dyDescent="0.3">
      <c r="A101" t="s">
        <v>8</v>
      </c>
      <c r="B101" t="s">
        <v>29</v>
      </c>
      <c r="C101" t="s">
        <v>186</v>
      </c>
      <c r="D101" s="25">
        <v>0.14366930478655687</v>
      </c>
      <c r="E101" s="25">
        <v>0.21723069521344313</v>
      </c>
      <c r="F101">
        <v>180</v>
      </c>
      <c r="G101" s="26">
        <v>9.4600000000000128E-2</v>
      </c>
      <c r="H101" s="26">
        <v>4.8799999999999955E-2</v>
      </c>
      <c r="I101" s="32">
        <v>100</v>
      </c>
      <c r="J101">
        <v>794.5</v>
      </c>
      <c r="K101" s="215">
        <v>0.46773813728953256</v>
      </c>
      <c r="M101" s="111"/>
    </row>
    <row r="102" spans="1:13" x14ac:dyDescent="0.3">
      <c r="A102" t="s">
        <v>12</v>
      </c>
      <c r="B102" t="s">
        <v>33</v>
      </c>
      <c r="C102" t="s">
        <v>186</v>
      </c>
      <c r="D102" s="25">
        <v>0.14372305201544275</v>
      </c>
      <c r="E102" s="25">
        <v>0.22017694798455725</v>
      </c>
      <c r="F102">
        <v>180</v>
      </c>
      <c r="G102" s="26">
        <v>9.540000000000004E-2</v>
      </c>
      <c r="H102" s="26">
        <v>4.6000000000000041E-2</v>
      </c>
      <c r="I102" s="32">
        <v>101</v>
      </c>
      <c r="J102">
        <v>2310</v>
      </c>
      <c r="K102" s="12">
        <v>1.3599434828682444</v>
      </c>
      <c r="M102" s="111"/>
    </row>
    <row r="103" spans="1:13" x14ac:dyDescent="0.3">
      <c r="A103" t="s">
        <v>12</v>
      </c>
      <c r="B103" t="s">
        <v>33</v>
      </c>
      <c r="C103" t="s">
        <v>186</v>
      </c>
      <c r="D103" s="25">
        <v>0.14348608078376024</v>
      </c>
      <c r="E103" s="25">
        <v>0.21981391921623974</v>
      </c>
      <c r="F103">
        <v>160</v>
      </c>
      <c r="G103" s="26">
        <v>9.760000000000002E-2</v>
      </c>
      <c r="H103" s="26">
        <v>4.819999999999991E-2</v>
      </c>
      <c r="I103" s="32">
        <v>102</v>
      </c>
      <c r="J103">
        <v>2209</v>
      </c>
      <c r="K103" s="12">
        <v>1.30048275050041</v>
      </c>
      <c r="M103" s="111"/>
    </row>
    <row r="104" spans="1:13" x14ac:dyDescent="0.3">
      <c r="A104" t="s">
        <v>13</v>
      </c>
      <c r="B104" t="s">
        <v>34</v>
      </c>
      <c r="C104" t="s">
        <v>186</v>
      </c>
      <c r="D104" s="25">
        <v>0.14691296386660635</v>
      </c>
      <c r="E104" s="25">
        <v>0.22018703613339369</v>
      </c>
      <c r="F104">
        <v>190</v>
      </c>
      <c r="G104" s="26">
        <v>9.5600000000000018E-2</v>
      </c>
      <c r="H104" s="26">
        <v>4.8999999999999932E-2</v>
      </c>
      <c r="I104" s="32">
        <v>103</v>
      </c>
      <c r="J104">
        <v>3168.5</v>
      </c>
      <c r="K104" s="12">
        <v>1.8653597079948194</v>
      </c>
      <c r="M104" s="111"/>
    </row>
    <row r="105" spans="1:13" x14ac:dyDescent="0.3">
      <c r="A105" t="s">
        <v>13</v>
      </c>
      <c r="B105" t="s">
        <v>34</v>
      </c>
      <c r="C105" t="s">
        <v>186</v>
      </c>
      <c r="D105" s="25">
        <v>0.14307105579491083</v>
      </c>
      <c r="E105" s="25">
        <v>0.21442894420508918</v>
      </c>
      <c r="F105">
        <v>154</v>
      </c>
      <c r="G105" s="26">
        <v>9.5799999999999996E-2</v>
      </c>
      <c r="H105" s="26">
        <v>4.930000000000001E-2</v>
      </c>
      <c r="I105" s="32">
        <v>104</v>
      </c>
      <c r="J105">
        <v>2820</v>
      </c>
      <c r="K105" s="12">
        <v>1.66019074531968</v>
      </c>
      <c r="M105" s="111"/>
    </row>
    <row r="106" spans="1:13" x14ac:dyDescent="0.3">
      <c r="A106" t="s">
        <v>17</v>
      </c>
      <c r="B106" t="s">
        <v>38</v>
      </c>
      <c r="C106" t="s">
        <v>186</v>
      </c>
      <c r="D106" s="25">
        <v>0.14493828157544433</v>
      </c>
      <c r="E106" s="25">
        <v>0.21676171842455569</v>
      </c>
      <c r="F106">
        <v>175</v>
      </c>
      <c r="G106" s="26">
        <v>9.540000000000004E-2</v>
      </c>
      <c r="H106" s="26">
        <v>4.8099999999999921E-2</v>
      </c>
      <c r="I106" s="32">
        <v>105</v>
      </c>
      <c r="J106">
        <v>1658.5</v>
      </c>
      <c r="K106" s="215">
        <v>0.97639232308960322</v>
      </c>
      <c r="M106" s="111"/>
    </row>
    <row r="107" spans="1:13" x14ac:dyDescent="0.3">
      <c r="A107" t="s">
        <v>17</v>
      </c>
      <c r="B107" t="s">
        <v>38</v>
      </c>
      <c r="C107" t="s">
        <v>186</v>
      </c>
      <c r="D107" s="25">
        <v>0.14485813876008605</v>
      </c>
      <c r="E107" s="25">
        <v>0.21664186123991394</v>
      </c>
      <c r="F107">
        <v>142</v>
      </c>
      <c r="G107" s="26">
        <v>9.5900000000000096E-2</v>
      </c>
      <c r="H107" s="26">
        <v>4.8500000000000099E-2</v>
      </c>
      <c r="I107" s="32">
        <v>106</v>
      </c>
      <c r="J107">
        <v>1539.5</v>
      </c>
      <c r="K107" s="215">
        <v>0.90633462851760282</v>
      </c>
      <c r="M107" s="111"/>
    </row>
    <row r="108" spans="1:13" x14ac:dyDescent="0.3">
      <c r="A108" t="s">
        <v>23</v>
      </c>
      <c r="B108" t="s">
        <v>39</v>
      </c>
      <c r="C108" t="s">
        <v>186</v>
      </c>
      <c r="D108" s="25">
        <v>0.14235278483084302</v>
      </c>
      <c r="E108" s="25">
        <v>0.21714721516915703</v>
      </c>
      <c r="F108">
        <v>168</v>
      </c>
      <c r="G108" s="26">
        <v>9.5700000000000007E-2</v>
      </c>
      <c r="H108" s="26">
        <v>4.8799999999999955E-2</v>
      </c>
      <c r="I108" s="32">
        <v>107</v>
      </c>
      <c r="J108">
        <v>1747.5</v>
      </c>
      <c r="K108" s="12">
        <v>1.0287884139879901</v>
      </c>
      <c r="M108" s="111"/>
    </row>
    <row r="109" spans="1:13" x14ac:dyDescent="0.3">
      <c r="A109" t="s">
        <v>23</v>
      </c>
      <c r="B109" t="s">
        <v>39</v>
      </c>
      <c r="C109" t="s">
        <v>186</v>
      </c>
      <c r="D109" s="25">
        <v>0.14203600533747815</v>
      </c>
      <c r="E109" s="25">
        <v>0.21666399466252192</v>
      </c>
      <c r="F109">
        <v>145</v>
      </c>
      <c r="G109" s="26">
        <v>9.7400000000000042E-2</v>
      </c>
      <c r="H109" s="26">
        <v>4.6399999999999997E-2</v>
      </c>
      <c r="I109" s="32">
        <v>108</v>
      </c>
      <c r="J109">
        <v>1451</v>
      </c>
      <c r="K109" s="215">
        <v>0.85423289768044275</v>
      </c>
      <c r="M109" s="111"/>
    </row>
    <row r="110" spans="1:13" x14ac:dyDescent="0.3">
      <c r="A110" t="s">
        <v>21</v>
      </c>
      <c r="B110" t="s">
        <v>43</v>
      </c>
      <c r="C110" t="s">
        <v>186</v>
      </c>
      <c r="D110" s="25">
        <v>0.14397478413956619</v>
      </c>
      <c r="E110" s="25">
        <v>0.22342521586043382</v>
      </c>
      <c r="F110">
        <v>160</v>
      </c>
      <c r="G110" s="26">
        <v>9.6999999999999975E-2</v>
      </c>
      <c r="H110" s="26">
        <v>4.3700000000000072E-2</v>
      </c>
      <c r="I110" s="32">
        <v>109</v>
      </c>
      <c r="J110">
        <v>2109.5</v>
      </c>
      <c r="K110" s="12">
        <v>1.2419050983162605</v>
      </c>
      <c r="M110" s="111"/>
    </row>
    <row r="111" spans="1:13" x14ac:dyDescent="0.3">
      <c r="A111" t="s">
        <v>21</v>
      </c>
      <c r="B111" t="s">
        <v>43</v>
      </c>
      <c r="C111" t="s">
        <v>186</v>
      </c>
      <c r="D111" s="25">
        <v>0.14013441156317055</v>
      </c>
      <c r="E111" s="25">
        <v>0.21746558843682942</v>
      </c>
      <c r="F111">
        <v>164</v>
      </c>
      <c r="G111" s="26">
        <v>9.5599999999999907E-2</v>
      </c>
      <c r="H111" s="26">
        <v>4.8300000000000121E-2</v>
      </c>
      <c r="I111" s="32">
        <v>110</v>
      </c>
      <c r="J111">
        <v>2124</v>
      </c>
      <c r="K111" s="12">
        <v>1.2504415400918405</v>
      </c>
      <c r="M111" s="111"/>
    </row>
    <row r="112" spans="1:13" x14ac:dyDescent="0.3">
      <c r="A112" t="s">
        <v>22</v>
      </c>
      <c r="B112" t="s">
        <v>44</v>
      </c>
      <c r="C112" t="s">
        <v>186</v>
      </c>
      <c r="D112" s="25">
        <v>0.14158995446888387</v>
      </c>
      <c r="E112" s="25">
        <v>0.22171004553111615</v>
      </c>
      <c r="F112">
        <v>153</v>
      </c>
      <c r="G112" s="26">
        <v>9.6499999999999919E-2</v>
      </c>
      <c r="H112" s="26">
        <v>4.8800000000000066E-2</v>
      </c>
      <c r="I112" s="32">
        <v>111</v>
      </c>
      <c r="J112">
        <v>2228</v>
      </c>
      <c r="K112" s="12">
        <v>1.311668432827034</v>
      </c>
      <c r="M112" s="111"/>
    </row>
    <row r="113" spans="1:13" x14ac:dyDescent="0.3">
      <c r="A113" t="s">
        <v>22</v>
      </c>
      <c r="B113" t="s">
        <v>44</v>
      </c>
      <c r="C113" t="s">
        <v>186</v>
      </c>
      <c r="D113" s="25">
        <v>0.14053767569909031</v>
      </c>
      <c r="E113" s="25">
        <v>0.22006232430090963</v>
      </c>
      <c r="F113">
        <v>140</v>
      </c>
      <c r="G113" s="26">
        <v>9.6799999999999997E-2</v>
      </c>
      <c r="H113" s="26">
        <v>4.8700000000000077E-2</v>
      </c>
      <c r="I113" s="32">
        <v>112</v>
      </c>
      <c r="J113">
        <v>2441.5</v>
      </c>
      <c r="K113" s="12">
        <v>1.4373601789709174</v>
      </c>
      <c r="M113" s="111"/>
    </row>
    <row r="114" spans="1:13" x14ac:dyDescent="0.3">
      <c r="A114" t="s">
        <v>523</v>
      </c>
      <c r="C114" t="s">
        <v>185</v>
      </c>
      <c r="G114">
        <v>9.3100000000000072E-2</v>
      </c>
      <c r="H114">
        <v>4.5300000000000007E-2</v>
      </c>
      <c r="I114" s="32">
        <v>120</v>
      </c>
      <c r="J114">
        <v>853</v>
      </c>
      <c r="K114" s="12">
        <f>J114/1771.2</f>
        <v>0.48159439927732611</v>
      </c>
      <c r="M114" s="111"/>
    </row>
    <row r="115" spans="1:13" x14ac:dyDescent="0.3">
      <c r="A115" t="s">
        <v>523</v>
      </c>
      <c r="C115" t="s">
        <v>185</v>
      </c>
      <c r="G115">
        <v>9.3600000000000017E-2</v>
      </c>
      <c r="H115">
        <v>4.6999999999999931E-2</v>
      </c>
      <c r="I115" s="32">
        <v>121</v>
      </c>
      <c r="J115">
        <v>868</v>
      </c>
      <c r="K115" s="12">
        <f>J115/1771.2</f>
        <v>0.49006323396567297</v>
      </c>
      <c r="M115" s="111"/>
    </row>
    <row r="116" spans="1:13" x14ac:dyDescent="0.3">
      <c r="A116" t="s">
        <v>523</v>
      </c>
      <c r="C116" t="s">
        <v>185</v>
      </c>
      <c r="G116">
        <v>9.9599999999999911E-2</v>
      </c>
      <c r="H116">
        <v>4.9099999999999921E-2</v>
      </c>
      <c r="I116" s="32">
        <v>122</v>
      </c>
      <c r="J116">
        <v>842</v>
      </c>
      <c r="K116" s="12">
        <f>J116/1771.2</f>
        <v>0.47538392050587169</v>
      </c>
      <c r="M116" s="111"/>
    </row>
    <row r="117" spans="1:13" x14ac:dyDescent="0.3">
      <c r="A117" t="s">
        <v>523</v>
      </c>
      <c r="C117" t="s">
        <v>185</v>
      </c>
      <c r="G117">
        <v>9.3400000000000039E-2</v>
      </c>
      <c r="H117">
        <v>4.7800000000000065E-2</v>
      </c>
      <c r="I117" s="32">
        <v>123</v>
      </c>
      <c r="J117">
        <v>841</v>
      </c>
      <c r="K117" s="12">
        <f>J117/1771.2</f>
        <v>0.47481933152664857</v>
      </c>
      <c r="M117" s="111"/>
    </row>
    <row r="118" spans="1:13" x14ac:dyDescent="0.3">
      <c r="A118" t="s">
        <v>523</v>
      </c>
      <c r="C118" t="s">
        <v>186</v>
      </c>
      <c r="G118">
        <v>9.4999999999999973E-2</v>
      </c>
      <c r="H118">
        <v>4.9499999999999988E-2</v>
      </c>
      <c r="I118" s="32">
        <v>124</v>
      </c>
      <c r="J118">
        <v>821</v>
      </c>
      <c r="K118" s="12">
        <f>J118/1771.2</f>
        <v>0.46352755194218609</v>
      </c>
      <c r="M118" s="111"/>
    </row>
    <row r="119" spans="1:13" ht="15" thickBot="1" x14ac:dyDescent="0.35">
      <c r="A119" t="s">
        <v>523</v>
      </c>
      <c r="C119" t="s">
        <v>186</v>
      </c>
      <c r="G119">
        <v>9.6600000000000019E-2</v>
      </c>
      <c r="H119">
        <v>4.8599999999999977E-2</v>
      </c>
      <c r="I119" s="41">
        <v>125</v>
      </c>
      <c r="J119" s="36">
        <v>422</v>
      </c>
      <c r="K119" s="56">
        <f>J119/1733.1</f>
        <v>0.24349431654261153</v>
      </c>
      <c r="L119" s="36"/>
      <c r="M119" s="223"/>
    </row>
    <row r="121" spans="1:13" x14ac:dyDescent="0.3">
      <c r="M121">
        <f>AVERAGE(M2:M92)</f>
        <v>0.61348384537359546</v>
      </c>
    </row>
  </sheetData>
  <mergeCells count="4">
    <mergeCell ref="Q3:Q7"/>
    <mergeCell ref="Q8:Q9"/>
    <mergeCell ref="Q15:Q16"/>
    <mergeCell ref="Q17:Q21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2535-96C5-46A9-AED1-C66A83BE132E}">
  <sheetPr>
    <pageSetUpPr fitToPage="1"/>
  </sheetPr>
  <dimension ref="A1:AR160"/>
  <sheetViews>
    <sheetView tabSelected="1" topLeftCell="O1" zoomScaleNormal="100" workbookViewId="0">
      <pane ySplit="6" topLeftCell="A7" activePane="bottomLeft" state="frozen"/>
      <selection pane="bottomLeft" activeCell="AF2" sqref="AF2:AF3"/>
    </sheetView>
  </sheetViews>
  <sheetFormatPr baseColWidth="10" defaultColWidth="12.109375" defaultRowHeight="14.4" x14ac:dyDescent="0.3"/>
  <cols>
    <col min="1" max="1" width="29.109375" style="138" bestFit="1" customWidth="1"/>
    <col min="2" max="4" width="12.109375" style="138"/>
    <col min="5" max="5" width="11.33203125" style="138" customWidth="1"/>
    <col min="6" max="6" width="8.44140625" style="138" customWidth="1"/>
    <col min="7" max="7" width="12.109375" style="138" customWidth="1"/>
    <col min="8" max="8" width="11" style="138" customWidth="1"/>
    <col min="9" max="9" width="8.44140625" style="138" customWidth="1"/>
    <col min="10" max="10" width="9.5546875" style="138" customWidth="1"/>
    <col min="11" max="11" width="11.6640625" style="138" customWidth="1"/>
    <col min="12" max="12" width="10.77734375" style="138" customWidth="1"/>
    <col min="13" max="13" width="10.6640625" style="138" customWidth="1"/>
    <col min="14" max="14" width="12.109375" style="138" customWidth="1"/>
    <col min="15" max="15" width="9.33203125" style="138" customWidth="1"/>
    <col min="16" max="16" width="11.77734375" style="138" customWidth="1"/>
    <col min="17" max="18" width="15.44140625" style="138" customWidth="1"/>
    <col min="19" max="19" width="12.109375" style="138" customWidth="1"/>
    <col min="20" max="20" width="11.21875" style="138" customWidth="1"/>
    <col min="21" max="21" width="12.88671875" style="138" customWidth="1"/>
    <col min="22" max="22" width="12.77734375" style="138" customWidth="1"/>
    <col min="23" max="23" width="11.5546875" style="138" customWidth="1"/>
    <col min="24" max="24" width="11.21875" style="138" customWidth="1"/>
    <col min="25" max="25" width="9.33203125" style="138" customWidth="1"/>
    <col min="26" max="26" width="11" style="138" customWidth="1"/>
    <col min="27" max="27" width="8.33203125" style="138" customWidth="1"/>
    <col min="28" max="28" width="9.33203125" style="138" customWidth="1"/>
    <col min="29" max="29" width="11" style="138" customWidth="1"/>
    <col min="30" max="30" width="8.21875" style="139" customWidth="1"/>
    <col min="31" max="31" width="12.21875" style="139" customWidth="1"/>
    <col min="32" max="32" width="9" style="138" customWidth="1"/>
    <col min="33" max="33" width="11" style="138" customWidth="1"/>
    <col min="34" max="34" width="8.33203125" style="138" customWidth="1"/>
    <col min="35" max="35" width="9" style="138" customWidth="1"/>
    <col min="36" max="36" width="9.33203125" style="138" customWidth="1"/>
    <col min="37" max="38" width="12.109375" style="138"/>
    <col min="39" max="39" width="11.33203125" style="138" bestFit="1" customWidth="1"/>
    <col min="40" max="16384" width="12.109375" style="138"/>
  </cols>
  <sheetData>
    <row r="1" spans="1:44" ht="18" x14ac:dyDescent="0.3">
      <c r="A1" s="137" t="s">
        <v>474</v>
      </c>
      <c r="AG1" s="155"/>
    </row>
    <row r="2" spans="1:44" x14ac:dyDescent="0.3">
      <c r="A2" s="140"/>
      <c r="AG2" s="155"/>
      <c r="AK2" s="155"/>
      <c r="AL2" s="201"/>
      <c r="AM2" s="201"/>
      <c r="AN2" s="201"/>
    </row>
    <row r="3" spans="1:44" x14ac:dyDescent="0.3">
      <c r="A3" s="141" t="s">
        <v>475</v>
      </c>
      <c r="B3" s="142"/>
      <c r="C3" s="142"/>
      <c r="D3" s="142"/>
      <c r="E3" s="143">
        <f>AVERAGE(T64:T119)</f>
        <v>0.2064346597961986</v>
      </c>
      <c r="AD3" s="203"/>
      <c r="AH3" s="155"/>
      <c r="AK3" s="155"/>
      <c r="AL3" s="201"/>
      <c r="AM3" s="201"/>
      <c r="AN3" s="201"/>
      <c r="AO3" s="201"/>
    </row>
    <row r="4" spans="1:44" x14ac:dyDescent="0.3">
      <c r="A4" s="144" t="s">
        <v>476</v>
      </c>
      <c r="B4" s="144"/>
      <c r="C4" s="144"/>
      <c r="D4" s="144"/>
      <c r="E4" s="145">
        <v>31.1981</v>
      </c>
      <c r="AL4" s="201"/>
      <c r="AM4" s="201"/>
      <c r="AN4" s="201"/>
    </row>
    <row r="5" spans="1:44" x14ac:dyDescent="0.3">
      <c r="A5" s="146"/>
      <c r="AL5" s="201"/>
      <c r="AM5" s="201"/>
      <c r="AN5" s="201"/>
    </row>
    <row r="6" spans="1:44" ht="43.2" x14ac:dyDescent="0.3">
      <c r="A6" s="147" t="s">
        <v>283</v>
      </c>
      <c r="B6" s="147" t="s">
        <v>477</v>
      </c>
      <c r="C6" s="147" t="s">
        <v>478</v>
      </c>
      <c r="D6" s="148" t="s">
        <v>479</v>
      </c>
      <c r="E6" s="147"/>
      <c r="F6" s="149" t="s">
        <v>480</v>
      </c>
      <c r="G6" s="148" t="s">
        <v>481</v>
      </c>
      <c r="H6" s="150" t="s">
        <v>482</v>
      </c>
      <c r="I6" s="148" t="s">
        <v>483</v>
      </c>
      <c r="J6" s="150" t="s">
        <v>484</v>
      </c>
      <c r="K6" s="148" t="s">
        <v>485</v>
      </c>
      <c r="L6" s="150" t="s">
        <v>486</v>
      </c>
      <c r="M6" s="149" t="s">
        <v>487</v>
      </c>
      <c r="N6" s="149" t="s">
        <v>488</v>
      </c>
      <c r="O6" s="147" t="s">
        <v>489</v>
      </c>
      <c r="P6" s="150" t="s">
        <v>490</v>
      </c>
      <c r="Q6" s="148" t="s">
        <v>491</v>
      </c>
      <c r="R6" s="148" t="s">
        <v>492</v>
      </c>
      <c r="S6" s="147" t="s">
        <v>493</v>
      </c>
      <c r="T6" s="148" t="s">
        <v>494</v>
      </c>
      <c r="U6" s="150" t="s">
        <v>495</v>
      </c>
      <c r="V6" s="150" t="s">
        <v>496</v>
      </c>
      <c r="W6" s="150" t="s">
        <v>497</v>
      </c>
      <c r="X6" s="148" t="s">
        <v>498</v>
      </c>
      <c r="Y6" s="147" t="s">
        <v>499</v>
      </c>
      <c r="Z6" s="150" t="s">
        <v>500</v>
      </c>
      <c r="AA6" s="149" t="s">
        <v>501</v>
      </c>
      <c r="AB6" s="148" t="s">
        <v>502</v>
      </c>
      <c r="AC6" s="150" t="s">
        <v>503</v>
      </c>
      <c r="AD6" s="151" t="s">
        <v>474</v>
      </c>
      <c r="AE6" s="151" t="s">
        <v>504</v>
      </c>
      <c r="AF6" s="151" t="s">
        <v>505</v>
      </c>
      <c r="AG6" s="152" t="s">
        <v>506</v>
      </c>
      <c r="AH6" s="152" t="s">
        <v>507</v>
      </c>
      <c r="AI6" s="152" t="s">
        <v>508</v>
      </c>
      <c r="AJ6" s="152" t="s">
        <v>509</v>
      </c>
      <c r="AL6" s="201"/>
      <c r="AM6" s="201"/>
      <c r="AN6" s="201"/>
      <c r="AO6" s="139"/>
      <c r="AQ6" s="139"/>
      <c r="AR6" s="139"/>
    </row>
    <row r="7" spans="1:44" x14ac:dyDescent="0.3">
      <c r="A7" s="152"/>
      <c r="B7" s="152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3"/>
      <c r="AE7" s="153"/>
      <c r="AF7" s="153"/>
      <c r="AG7" s="152"/>
      <c r="AH7" s="152"/>
      <c r="AI7" s="152"/>
      <c r="AJ7" s="152"/>
      <c r="AK7" s="155"/>
      <c r="AM7" s="154"/>
      <c r="AO7" s="155"/>
      <c r="AP7" s="155"/>
      <c r="AQ7" s="156"/>
      <c r="AR7" s="155"/>
    </row>
    <row r="8" spans="1:44" x14ac:dyDescent="0.3">
      <c r="A8" s="157" t="s">
        <v>4</v>
      </c>
      <c r="B8" s="158" t="s">
        <v>510</v>
      </c>
      <c r="C8" s="157" t="s">
        <v>185</v>
      </c>
      <c r="D8" s="159">
        <v>360.70000000000005</v>
      </c>
      <c r="E8" s="152"/>
      <c r="F8" s="160">
        <v>151.79258823636559</v>
      </c>
      <c r="G8" s="160">
        <f>D8/((F8/100)+1)</f>
        <v>143.25282667232432</v>
      </c>
      <c r="H8" s="160">
        <f>D8-G8</f>
        <v>217.44717332767573</v>
      </c>
      <c r="I8" s="152">
        <v>150</v>
      </c>
      <c r="J8" s="161">
        <f>H8+I8</f>
        <v>367.44717332767573</v>
      </c>
      <c r="K8" s="152">
        <v>99</v>
      </c>
      <c r="L8" s="160">
        <f>((I8*K8)+(H8*T64))/J8</f>
        <v>40.542517980149327</v>
      </c>
      <c r="M8" s="162">
        <v>22.024616079494127</v>
      </c>
      <c r="N8" s="152">
        <v>102.8</v>
      </c>
      <c r="O8" s="163">
        <f>(N8*M8)/1000</f>
        <v>2.2641305329719961</v>
      </c>
      <c r="P8" s="160">
        <f>O8/(G8/1000)</f>
        <v>15.805136872802903</v>
      </c>
      <c r="Q8" s="152">
        <v>45.799999999999955</v>
      </c>
      <c r="R8" s="164">
        <v>4.1419105000000007</v>
      </c>
      <c r="S8" s="165">
        <f>+R8*N8/Q8</f>
        <v>9.2966899432314509</v>
      </c>
      <c r="T8" s="165">
        <v>0.2571165351364138</v>
      </c>
      <c r="U8" s="165">
        <f>T8-T64</f>
        <v>3.9897655398845266E-2</v>
      </c>
      <c r="V8" s="165">
        <f>S8*(U8/L8)*(100/$E$4)</f>
        <v>2.932492149064848E-2</v>
      </c>
      <c r="W8" s="165">
        <f>(V8*1000)/(G8/1000)/AA8</f>
        <v>4.2573474062155388</v>
      </c>
      <c r="X8" s="160">
        <v>1579.8543362742157</v>
      </c>
      <c r="Y8" s="160">
        <f>X8/P8</f>
        <v>99.958282486802801</v>
      </c>
      <c r="Z8" s="160">
        <f>(V8*Y8)*1000</f>
        <v>2931.2687862655553</v>
      </c>
      <c r="AA8" s="166">
        <v>48.083333333255723</v>
      </c>
      <c r="AB8" s="167">
        <v>1344.6770560897451</v>
      </c>
      <c r="AC8" s="165">
        <f>Z8/(G8/1000)/AA8</f>
        <v>425.55713467495008</v>
      </c>
      <c r="AD8" s="168">
        <f>AC8/(AB8+AC8)</f>
        <v>0.24039595263444802</v>
      </c>
      <c r="AE8" s="167">
        <f>1/AF8</f>
        <v>6.4647550079110997E-3</v>
      </c>
      <c r="AF8" s="168">
        <f>O8/(V8/AA8*24)</f>
        <v>154.68490279620377</v>
      </c>
      <c r="AG8" s="165">
        <f>AB8+AC8</f>
        <v>1770.2341907646951</v>
      </c>
      <c r="AH8" s="165">
        <f>AB8/X8</f>
        <v>0.85113989639127663</v>
      </c>
      <c r="AI8" s="165">
        <f>AC8/X8</f>
        <v>0.26936479199629582</v>
      </c>
      <c r="AJ8" s="165">
        <f>AG8/X8</f>
        <v>1.1205046883875724</v>
      </c>
      <c r="AK8" s="201"/>
      <c r="AM8" s="169"/>
      <c r="AN8" s="169"/>
      <c r="AO8" s="169"/>
      <c r="AP8" s="169"/>
      <c r="AQ8" s="156"/>
      <c r="AR8" s="155"/>
    </row>
    <row r="9" spans="1:44" x14ac:dyDescent="0.3">
      <c r="A9" s="157" t="s">
        <v>5</v>
      </c>
      <c r="B9" s="152" t="s">
        <v>510</v>
      </c>
      <c r="C9" s="157" t="s">
        <v>185</v>
      </c>
      <c r="D9" s="159">
        <v>353.9</v>
      </c>
      <c r="E9" s="152"/>
      <c r="F9" s="160">
        <v>150.89581655117073</v>
      </c>
      <c r="G9" s="160">
        <f t="shared" ref="G9:G72" si="0">D9/((F9/100)+1)</f>
        <v>141.05456394798887</v>
      </c>
      <c r="H9" s="160">
        <f t="shared" ref="H9:H72" si="1">D9-G9</f>
        <v>212.84543605201111</v>
      </c>
      <c r="I9" s="152">
        <v>150</v>
      </c>
      <c r="J9" s="161">
        <f t="shared" ref="J9:J72" si="2">H9+I9</f>
        <v>362.84543605201111</v>
      </c>
      <c r="K9" s="152">
        <v>99</v>
      </c>
      <c r="L9" s="160">
        <f t="shared" ref="L9:L63" si="3">((I9*K9)+(H9*T65))/J9</f>
        <v>41.047576479846846</v>
      </c>
      <c r="M9" s="162">
        <v>1.1737804878048781</v>
      </c>
      <c r="N9" s="152">
        <v>91.999999999999972</v>
      </c>
      <c r="O9" s="163">
        <f t="shared" ref="O9:O72" si="4">(N9*M9)/1000</f>
        <v>0.10798780487804875</v>
      </c>
      <c r="P9" s="160">
        <f t="shared" ref="P9:P38" si="5">O9/(G9/1000)</f>
        <v>0.76557469574587567</v>
      </c>
      <c r="Q9" s="152">
        <v>45.300000000000004</v>
      </c>
      <c r="R9" s="170">
        <v>4.5071639999999995</v>
      </c>
      <c r="S9" s="165">
        <f t="shared" ref="S9:S72" si="6">+R9*N9/Q9</f>
        <v>9.1536222516556247</v>
      </c>
      <c r="T9" s="171">
        <v>0.23420903939211021</v>
      </c>
      <c r="U9" s="165">
        <f t="shared" ref="U9:U62" si="7">T9-T65</f>
        <v>2.7834932795945094E-2</v>
      </c>
      <c r="V9" s="165">
        <f t="shared" ref="V9:V63" si="8">S9*(U9/L9)*(100/$E$4)</f>
        <v>1.9896079002473376E-2</v>
      </c>
      <c r="W9" s="165">
        <f t="shared" ref="W9:W63" si="9">(V9*1000)/(G9/1000)/AA9</f>
        <v>2.9334979356055113</v>
      </c>
      <c r="X9" s="160">
        <v>508.52169282016746</v>
      </c>
      <c r="Y9" s="160">
        <f t="shared" ref="Y9:Y63" si="10">X9/P9</f>
        <v>664.23524137606262</v>
      </c>
      <c r="Z9" s="160">
        <f t="shared" ref="Z9:Z63" si="11">(V9*Y9)*1000</f>
        <v>13215.676838645115</v>
      </c>
      <c r="AA9" s="166">
        <v>48.083333333255723</v>
      </c>
      <c r="AB9" s="167">
        <v>860.70552459380576</v>
      </c>
      <c r="AC9" s="165">
        <f t="shared" ref="AC9:AC63" si="12">Z9/(G9/1000)/AA9</f>
        <v>1948.5327093331084</v>
      </c>
      <c r="AD9" s="168">
        <f t="shared" ref="AD9:AD63" si="13">AC9/(AB9+AC9)</f>
        <v>0.69361604359532647</v>
      </c>
      <c r="AE9" s="167">
        <f t="shared" ref="AE9:AE63" si="14">1/AF9</f>
        <v>9.1962222426826556E-2</v>
      </c>
      <c r="AF9" s="168">
        <f>O9/(V9/AA9*24)</f>
        <v>10.874030374762748</v>
      </c>
      <c r="AG9" s="165">
        <f t="shared" ref="AG9:AG63" si="15">AB9+AC9</f>
        <v>2809.2382339269143</v>
      </c>
      <c r="AH9" s="165">
        <f t="shared" ref="AH9:AH63" si="16">AB9/X9</f>
        <v>1.6925640277418488</v>
      </c>
      <c r="AI9" s="165">
        <f t="shared" ref="AI9:AI63" si="17">AC9/X9</f>
        <v>3.8317592677844394</v>
      </c>
      <c r="AJ9" s="165">
        <f t="shared" ref="AJ9:AJ63" si="18">AG9/X9</f>
        <v>5.5243232955262878</v>
      </c>
      <c r="AK9" s="201"/>
      <c r="AM9" s="231"/>
      <c r="AN9" s="172"/>
      <c r="AO9" s="172"/>
      <c r="AP9" s="172"/>
      <c r="AQ9" s="156"/>
      <c r="AR9" s="155"/>
    </row>
    <row r="10" spans="1:44" x14ac:dyDescent="0.3">
      <c r="A10" s="157" t="s">
        <v>6</v>
      </c>
      <c r="B10" s="152" t="s">
        <v>510</v>
      </c>
      <c r="C10" s="157" t="s">
        <v>185</v>
      </c>
      <c r="D10" s="159">
        <v>355.8</v>
      </c>
      <c r="E10" s="152"/>
      <c r="F10" s="160">
        <v>152.98493196155002</v>
      </c>
      <c r="G10" s="160">
        <f t="shared" si="0"/>
        <v>140.64078727585104</v>
      </c>
      <c r="H10" s="160">
        <f t="shared" si="1"/>
        <v>215.15921272414897</v>
      </c>
      <c r="I10" s="152">
        <v>150</v>
      </c>
      <c r="J10" s="161">
        <f t="shared" si="2"/>
        <v>365.15921272414897</v>
      </c>
      <c r="K10" s="152">
        <v>99</v>
      </c>
      <c r="L10" s="160">
        <f t="shared" si="3"/>
        <v>40.78975407601078</v>
      </c>
      <c r="M10" s="162">
        <v>0.8259936766034327</v>
      </c>
      <c r="N10" s="152">
        <v>91.39999999999992</v>
      </c>
      <c r="O10" s="163">
        <f t="shared" si="4"/>
        <v>7.5495822041553681E-2</v>
      </c>
      <c r="P10" s="160">
        <f t="shared" si="5"/>
        <v>0.53679891519291023</v>
      </c>
      <c r="Q10" s="152">
        <v>46.799999999999955</v>
      </c>
      <c r="R10" s="164">
        <v>25.796225000000003</v>
      </c>
      <c r="S10" s="165">
        <f>+R10*N10/Q10</f>
        <v>50.379806944444454</v>
      </c>
      <c r="T10" s="165">
        <v>0.24201750476457226</v>
      </c>
      <c r="U10" s="165">
        <f t="shared" si="7"/>
        <v>3.4011140356091263E-2</v>
      </c>
      <c r="V10" s="165">
        <f>S10*(U10/L10)*(100/$E$4)</f>
        <v>0.13464755132177372</v>
      </c>
      <c r="W10" s="165">
        <f t="shared" si="9"/>
        <v>19.91097852179718</v>
      </c>
      <c r="X10" s="160">
        <v>325.86687416989332</v>
      </c>
      <c r="Y10" s="160">
        <f t="shared" si="10"/>
        <v>607.0557613790744</v>
      </c>
      <c r="Z10" s="160">
        <f>(V10*Y10)*1000</f>
        <v>81738.571785467342</v>
      </c>
      <c r="AA10" s="166">
        <v>48.083333333255723</v>
      </c>
      <c r="AB10" s="167">
        <v>1536.0383016622563</v>
      </c>
      <c r="AC10" s="165">
        <f t="shared" si="12"/>
        <v>12087.074226351982</v>
      </c>
      <c r="AD10" s="168">
        <f t="shared" si="13"/>
        <v>0.88724762432200543</v>
      </c>
      <c r="AE10" s="167">
        <f t="shared" si="14"/>
        <v>0.89020948254226961</v>
      </c>
      <c r="AF10" s="168">
        <f t="shared" ref="AF10:AF63" si="19">O10/(V10/AA10*24)</f>
        <v>1.1233311030839499</v>
      </c>
      <c r="AG10" s="165">
        <f t="shared" si="15"/>
        <v>13623.112528014239</v>
      </c>
      <c r="AH10" s="165">
        <f t="shared" si="16"/>
        <v>4.7136988243285831</v>
      </c>
      <c r="AI10" s="165">
        <f t="shared" si="17"/>
        <v>37.092061772594562</v>
      </c>
      <c r="AJ10" s="165">
        <f t="shared" si="18"/>
        <v>41.805760596923143</v>
      </c>
      <c r="AM10" s="231"/>
      <c r="AN10" s="172"/>
      <c r="AO10" s="172"/>
      <c r="AP10" s="172"/>
      <c r="AQ10" s="156"/>
      <c r="AR10" s="155"/>
    </row>
    <row r="11" spans="1:44" x14ac:dyDescent="0.3">
      <c r="A11" s="157" t="s">
        <v>7</v>
      </c>
      <c r="B11" s="152" t="s">
        <v>510</v>
      </c>
      <c r="C11" s="157" t="s">
        <v>185</v>
      </c>
      <c r="D11" s="159">
        <v>347.2</v>
      </c>
      <c r="E11" s="152"/>
      <c r="F11" s="160">
        <v>156.56928467890333</v>
      </c>
      <c r="G11" s="160">
        <f t="shared" si="0"/>
        <v>135.32407062463503</v>
      </c>
      <c r="H11" s="160">
        <f t="shared" si="1"/>
        <v>211.87592937536496</v>
      </c>
      <c r="I11" s="152">
        <v>150</v>
      </c>
      <c r="J11" s="161">
        <f t="shared" si="2"/>
        <v>361.87592937536499</v>
      </c>
      <c r="K11" s="152">
        <v>99</v>
      </c>
      <c r="L11" s="160">
        <f t="shared" si="3"/>
        <v>41.156005671311021</v>
      </c>
      <c r="M11" s="162">
        <v>1.8128952122854562</v>
      </c>
      <c r="N11" s="152">
        <v>92.39999999999992</v>
      </c>
      <c r="O11" s="163">
        <f t="shared" si="4"/>
        <v>0.16751151761517602</v>
      </c>
      <c r="P11" s="160">
        <f t="shared" si="5"/>
        <v>1.2378545578917979</v>
      </c>
      <c r="Q11" s="152">
        <v>47.200000000000017</v>
      </c>
      <c r="R11" s="170">
        <v>4.2923959999999992</v>
      </c>
      <c r="S11" s="165">
        <f t="shared" si="6"/>
        <v>8.4029108135593109</v>
      </c>
      <c r="T11" s="171">
        <v>0.22452768563654835</v>
      </c>
      <c r="U11" s="165">
        <f t="shared" si="7"/>
        <v>1.9842793816502197E-2</v>
      </c>
      <c r="V11" s="165">
        <f t="shared" si="8"/>
        <v>1.2985874745654236E-2</v>
      </c>
      <c r="W11" s="165">
        <f t="shared" si="9"/>
        <v>1.995729097605436</v>
      </c>
      <c r="X11" s="160">
        <v>683.99124512955825</v>
      </c>
      <c r="Y11" s="160">
        <f t="shared" si="10"/>
        <v>552.56188279055209</v>
      </c>
      <c r="Z11" s="160">
        <f t="shared" si="11"/>
        <v>7175.4993991409865</v>
      </c>
      <c r="AA11" s="166">
        <v>48.083333333255723</v>
      </c>
      <c r="AB11" s="167">
        <v>5463.8955608553442</v>
      </c>
      <c r="AC11" s="165">
        <f t="shared" si="12"/>
        <v>1102.7638277127492</v>
      </c>
      <c r="AD11" s="168">
        <f t="shared" si="13"/>
        <v>0.16793376395196502</v>
      </c>
      <c r="AE11" s="167">
        <f t="shared" si="14"/>
        <v>3.8693962903125843E-2</v>
      </c>
      <c r="AF11" s="168">
        <f t="shared" si="19"/>
        <v>25.843824849462919</v>
      </c>
      <c r="AG11" s="165">
        <f t="shared" si="15"/>
        <v>6566.6593885680932</v>
      </c>
      <c r="AH11" s="165">
        <f t="shared" si="16"/>
        <v>7.9882536505571791</v>
      </c>
      <c r="AI11" s="165">
        <f t="shared" si="17"/>
        <v>1.61224845429691</v>
      </c>
      <c r="AJ11" s="165">
        <f t="shared" si="18"/>
        <v>9.6005021048540886</v>
      </c>
      <c r="AM11" s="231"/>
      <c r="AN11" s="172"/>
      <c r="AO11" s="172"/>
      <c r="AP11" s="172"/>
    </row>
    <row r="12" spans="1:44" x14ac:dyDescent="0.3">
      <c r="A12" s="157" t="s">
        <v>8</v>
      </c>
      <c r="B12" s="152" t="s">
        <v>510</v>
      </c>
      <c r="C12" s="157" t="s">
        <v>185</v>
      </c>
      <c r="D12" s="159">
        <v>353.3</v>
      </c>
      <c r="E12" s="152"/>
      <c r="F12" s="160">
        <v>151.08375068999621</v>
      </c>
      <c r="G12" s="160">
        <f t="shared" si="0"/>
        <v>140.71002166771294</v>
      </c>
      <c r="H12" s="160">
        <f t="shared" si="1"/>
        <v>212.58997833228707</v>
      </c>
      <c r="I12" s="152">
        <v>150</v>
      </c>
      <c r="J12" s="161">
        <f t="shared" si="2"/>
        <v>362.58997833228705</v>
      </c>
      <c r="K12" s="152">
        <v>99</v>
      </c>
      <c r="L12" s="160">
        <f t="shared" si="3"/>
        <v>41.076687567721166</v>
      </c>
      <c r="M12" s="162">
        <v>1.2985546522131888</v>
      </c>
      <c r="N12" s="152">
        <v>93.20000000000006</v>
      </c>
      <c r="O12" s="163">
        <f t="shared" si="4"/>
        <v>0.12102529358626928</v>
      </c>
      <c r="P12" s="160">
        <f t="shared" si="5"/>
        <v>0.86010429215959339</v>
      </c>
      <c r="Q12" s="152">
        <v>48.200000000000017</v>
      </c>
      <c r="R12" s="170">
        <v>4.0198439999999991</v>
      </c>
      <c r="S12" s="165">
        <f t="shared" si="6"/>
        <v>7.772810390041494</v>
      </c>
      <c r="T12" s="171">
        <v>0.27232092842408001</v>
      </c>
      <c r="U12" s="165">
        <f t="shared" si="7"/>
        <v>6.5372061467734693E-2</v>
      </c>
      <c r="V12" s="165">
        <f t="shared" si="8"/>
        <v>3.9650319711896614E-2</v>
      </c>
      <c r="W12" s="165">
        <f t="shared" si="9"/>
        <v>5.8603977978386865</v>
      </c>
      <c r="X12" s="160">
        <v>1370.5709827332207</v>
      </c>
      <c r="Y12" s="160">
        <f t="shared" si="10"/>
        <v>1593.4939462886782</v>
      </c>
      <c r="Z12" s="160">
        <f t="shared" si="11"/>
        <v>63182.544429317903</v>
      </c>
      <c r="AA12" s="166">
        <v>48.083333333255723</v>
      </c>
      <c r="AB12" s="167">
        <v>8338.0779807439085</v>
      </c>
      <c r="AC12" s="165">
        <f t="shared" si="12"/>
        <v>9338.5084136994483</v>
      </c>
      <c r="AD12" s="168">
        <f t="shared" si="13"/>
        <v>0.52829817959846659</v>
      </c>
      <c r="AE12" s="167">
        <f t="shared" si="14"/>
        <v>0.16352615424692102</v>
      </c>
      <c r="AF12" s="168">
        <f t="shared" si="19"/>
        <v>6.1152297294903741</v>
      </c>
      <c r="AG12" s="165">
        <f t="shared" si="15"/>
        <v>17676.586394443359</v>
      </c>
      <c r="AH12" s="165">
        <f t="shared" si="16"/>
        <v>6.0836527883553631</v>
      </c>
      <c r="AI12" s="165">
        <f t="shared" si="17"/>
        <v>6.8135897602883757</v>
      </c>
      <c r="AJ12" s="165">
        <f t="shared" si="18"/>
        <v>12.897242548643741</v>
      </c>
      <c r="AM12" s="231"/>
      <c r="AN12" s="172"/>
      <c r="AO12" s="172"/>
      <c r="AP12" s="172"/>
    </row>
    <row r="13" spans="1:44" x14ac:dyDescent="0.3">
      <c r="A13" s="157" t="s">
        <v>9</v>
      </c>
      <c r="B13" s="152" t="s">
        <v>510</v>
      </c>
      <c r="C13" s="157" t="s">
        <v>185</v>
      </c>
      <c r="D13" s="159">
        <v>352.2</v>
      </c>
      <c r="E13" s="152"/>
      <c r="F13" s="160">
        <v>150.79123646674034</v>
      </c>
      <c r="G13" s="160">
        <f t="shared" si="0"/>
        <v>140.43552915243447</v>
      </c>
      <c r="H13" s="160">
        <f t="shared" si="1"/>
        <v>211.76447084756552</v>
      </c>
      <c r="I13" s="152">
        <v>150</v>
      </c>
      <c r="J13" s="161">
        <f t="shared" si="2"/>
        <v>361.76447084756552</v>
      </c>
      <c r="K13" s="152">
        <v>99</v>
      </c>
      <c r="L13" s="160">
        <f t="shared" si="3"/>
        <v>41.169079726764032</v>
      </c>
      <c r="M13" s="162">
        <v>1.9077461607949413</v>
      </c>
      <c r="N13" s="152">
        <v>89.899999999999864</v>
      </c>
      <c r="O13" s="163">
        <f t="shared" si="4"/>
        <v>0.17150637985546496</v>
      </c>
      <c r="P13" s="160">
        <f t="shared" si="5"/>
        <v>1.2212463675720191</v>
      </c>
      <c r="Q13" s="152">
        <f>49.2000000000001-5</f>
        <v>44.200000000000102</v>
      </c>
      <c r="R13" s="170">
        <v>7.9744519999999994</v>
      </c>
      <c r="S13" s="165">
        <f t="shared" si="6"/>
        <v>16.219530199094958</v>
      </c>
      <c r="T13" s="171">
        <v>0.31551579252804451</v>
      </c>
      <c r="U13" s="165">
        <f t="shared" si="7"/>
        <v>0.11005005760149092</v>
      </c>
      <c r="V13" s="165">
        <f t="shared" si="8"/>
        <v>0.13897261832960608</v>
      </c>
      <c r="W13" s="165">
        <f t="shared" si="9"/>
        <v>20.580583223427617</v>
      </c>
      <c r="X13" s="160">
        <v>457.97053841934058</v>
      </c>
      <c r="Y13" s="160">
        <f t="shared" si="10"/>
        <v>375.00257980692271</v>
      </c>
      <c r="Z13" s="160">
        <f t="shared" si="11"/>
        <v>52115.090396125117</v>
      </c>
      <c r="AA13" s="166">
        <v>48.083333333255723</v>
      </c>
      <c r="AB13" s="167">
        <v>1413.1944267569143</v>
      </c>
      <c r="AC13" s="165">
        <f t="shared" si="12"/>
        <v>7717.7718027164292</v>
      </c>
      <c r="AD13" s="168">
        <f t="shared" si="13"/>
        <v>0.84523057130631574</v>
      </c>
      <c r="AE13" s="167">
        <f t="shared" si="14"/>
        <v>0.40445074022554633</v>
      </c>
      <c r="AF13" s="168">
        <f t="shared" si="19"/>
        <v>2.4724889845481286</v>
      </c>
      <c r="AG13" s="165">
        <f t="shared" si="15"/>
        <v>9130.9662294733425</v>
      </c>
      <c r="AH13" s="165">
        <f t="shared" si="16"/>
        <v>3.0857758484519002</v>
      </c>
      <c r="AI13" s="165">
        <f t="shared" si="17"/>
        <v>16.852114176064429</v>
      </c>
      <c r="AJ13" s="165">
        <f t="shared" si="18"/>
        <v>19.937890024516328</v>
      </c>
      <c r="AM13" s="231"/>
      <c r="AN13" s="172"/>
      <c r="AO13" s="172"/>
      <c r="AP13" s="172"/>
    </row>
    <row r="14" spans="1:44" x14ac:dyDescent="0.3">
      <c r="A14" s="157" t="s">
        <v>10</v>
      </c>
      <c r="B14" s="152" t="s">
        <v>510</v>
      </c>
      <c r="C14" s="157" t="s">
        <v>185</v>
      </c>
      <c r="D14" s="159">
        <v>345.4</v>
      </c>
      <c r="E14" s="152"/>
      <c r="F14" s="160">
        <v>149.88381072480601</v>
      </c>
      <c r="G14" s="160">
        <f t="shared" si="0"/>
        <v>138.22424069736346</v>
      </c>
      <c r="H14" s="160">
        <f t="shared" si="1"/>
        <v>207.17575930263652</v>
      </c>
      <c r="I14" s="152">
        <v>150</v>
      </c>
      <c r="J14" s="161">
        <f t="shared" si="2"/>
        <v>357.17575930263649</v>
      </c>
      <c r="K14" s="152">
        <v>99</v>
      </c>
      <c r="L14" s="160">
        <f t="shared" si="3"/>
        <v>41.694603561371189</v>
      </c>
      <c r="M14" s="162">
        <v>1.362917795844625</v>
      </c>
      <c r="N14" s="152">
        <v>91.100000000000065</v>
      </c>
      <c r="O14" s="163">
        <f t="shared" si="4"/>
        <v>0.12416181120144543</v>
      </c>
      <c r="P14" s="160">
        <f t="shared" si="5"/>
        <v>0.89826365169400968</v>
      </c>
      <c r="Q14" s="152">
        <f>47.3-5</f>
        <v>42.3</v>
      </c>
      <c r="R14" s="170">
        <v>17.529892</v>
      </c>
      <c r="S14" s="165">
        <f t="shared" si="6"/>
        <v>37.753502628841638</v>
      </c>
      <c r="T14" s="171">
        <v>0.27124883373888864</v>
      </c>
      <c r="U14" s="165">
        <f t="shared" si="7"/>
        <v>6.7066230534950672E-2</v>
      </c>
      <c r="V14" s="165">
        <f t="shared" si="8"/>
        <v>0.19464943742598614</v>
      </c>
      <c r="W14" s="165">
        <f t="shared" si="9"/>
        <v>29.28696531257976</v>
      </c>
      <c r="X14" s="160">
        <v>58.765682930355112</v>
      </c>
      <c r="Y14" s="160">
        <f t="shared" si="10"/>
        <v>65.421419223109595</v>
      </c>
      <c r="Z14" s="160">
        <f t="shared" si="11"/>
        <v>12734.242447387878</v>
      </c>
      <c r="AA14" s="166">
        <v>48.083333333255723</v>
      </c>
      <c r="AB14" s="167">
        <v>474.73194035228056</v>
      </c>
      <c r="AC14" s="165">
        <f t="shared" si="12"/>
        <v>1915.9948354869491</v>
      </c>
      <c r="AD14" s="168">
        <f t="shared" si="13"/>
        <v>0.80142777286390965</v>
      </c>
      <c r="AE14" s="167">
        <f t="shared" si="14"/>
        <v>0.78249539116534372</v>
      </c>
      <c r="AF14" s="168">
        <f t="shared" si="19"/>
        <v>1.2779627986188316</v>
      </c>
      <c r="AG14" s="165">
        <f t="shared" si="15"/>
        <v>2390.7267758392295</v>
      </c>
      <c r="AH14" s="165">
        <f t="shared" si="16"/>
        <v>8.0783871926562814</v>
      </c>
      <c r="AI14" s="165">
        <f t="shared" si="17"/>
        <v>32.603974631889315</v>
      </c>
      <c r="AJ14" s="165">
        <f t="shared" si="18"/>
        <v>40.682361824545595</v>
      </c>
      <c r="AM14" s="231"/>
      <c r="AN14" s="172"/>
      <c r="AO14" s="172"/>
      <c r="AP14" s="172"/>
    </row>
    <row r="15" spans="1:44" x14ac:dyDescent="0.3">
      <c r="A15" s="157" t="s">
        <v>11</v>
      </c>
      <c r="B15" s="152" t="s">
        <v>510</v>
      </c>
      <c r="C15" s="157" t="s">
        <v>185</v>
      </c>
      <c r="D15" s="159">
        <v>349.2</v>
      </c>
      <c r="E15" s="152"/>
      <c r="F15" s="160">
        <v>156.82764758793891</v>
      </c>
      <c r="G15" s="160">
        <f t="shared" si="0"/>
        <v>135.96666997482518</v>
      </c>
      <c r="H15" s="160">
        <f t="shared" si="1"/>
        <v>213.23333002517481</v>
      </c>
      <c r="I15" s="152">
        <v>150</v>
      </c>
      <c r="J15" s="161">
        <f t="shared" si="2"/>
        <v>363.23333002517484</v>
      </c>
      <c r="K15" s="152">
        <v>99</v>
      </c>
      <c r="L15" s="160">
        <f t="shared" si="3"/>
        <v>41.009128188460814</v>
      </c>
      <c r="M15" s="162">
        <v>15.584914182475158</v>
      </c>
      <c r="N15" s="152">
        <v>93.199999999999946</v>
      </c>
      <c r="O15" s="163">
        <f t="shared" si="4"/>
        <v>1.4525140018066838</v>
      </c>
      <c r="P15" s="160">
        <f t="shared" si="5"/>
        <v>10.682868103452288</v>
      </c>
      <c r="Q15" s="152">
        <v>46.899999999999942</v>
      </c>
      <c r="R15" s="164">
        <v>4.2931252000000004</v>
      </c>
      <c r="S15" s="165">
        <f t="shared" si="6"/>
        <v>8.5313276895522456</v>
      </c>
      <c r="T15" s="165">
        <v>0.23115342900124661</v>
      </c>
      <c r="U15" s="165">
        <f t="shared" si="7"/>
        <v>1.5979781811707894E-2</v>
      </c>
      <c r="V15" s="165">
        <f t="shared" si="8"/>
        <v>1.0655621518588218E-2</v>
      </c>
      <c r="W15" s="165">
        <f t="shared" si="9"/>
        <v>1.6298654661275891</v>
      </c>
      <c r="X15" s="160">
        <v>797.86995888456204</v>
      </c>
      <c r="Y15" s="160">
        <f t="shared" si="10"/>
        <v>74.686867904577184</v>
      </c>
      <c r="Z15" s="160">
        <f t="shared" si="11"/>
        <v>795.83499679996839</v>
      </c>
      <c r="AA15" s="166">
        <v>48.083333333255723</v>
      </c>
      <c r="AB15" s="167">
        <v>1040.4964011012826</v>
      </c>
      <c r="AC15" s="165">
        <f t="shared" si="12"/>
        <v>121.72954677090337</v>
      </c>
      <c r="AD15" s="168">
        <f t="shared" si="13"/>
        <v>0.10473828001669293</v>
      </c>
      <c r="AE15" s="167">
        <f t="shared" si="14"/>
        <v>3.6616356963558422E-3</v>
      </c>
      <c r="AF15" s="168">
        <f t="shared" si="19"/>
        <v>273.10199127543649</v>
      </c>
      <c r="AG15" s="165">
        <f t="shared" si="15"/>
        <v>1162.225947872186</v>
      </c>
      <c r="AH15" s="165">
        <f t="shared" si="16"/>
        <v>1.3040927152538957</v>
      </c>
      <c r="AI15" s="165">
        <f t="shared" si="17"/>
        <v>0.15256815401482679</v>
      </c>
      <c r="AJ15" s="165">
        <f t="shared" si="18"/>
        <v>1.4566608692687224</v>
      </c>
      <c r="AM15" s="231"/>
      <c r="AN15" s="172"/>
      <c r="AO15" s="172"/>
      <c r="AP15" s="172"/>
    </row>
    <row r="16" spans="1:44" x14ac:dyDescent="0.3">
      <c r="A16" s="157" t="s">
        <v>12</v>
      </c>
      <c r="B16" s="152" t="s">
        <v>510</v>
      </c>
      <c r="C16" s="157" t="s">
        <v>185</v>
      </c>
      <c r="D16" s="159">
        <v>345.8</v>
      </c>
      <c r="E16" s="152"/>
      <c r="F16" s="160">
        <v>153.00946725861891</v>
      </c>
      <c r="G16" s="160">
        <f t="shared" si="0"/>
        <v>136.67472752967512</v>
      </c>
      <c r="H16" s="160">
        <f t="shared" si="1"/>
        <v>209.12527247032489</v>
      </c>
      <c r="I16" s="152">
        <v>150</v>
      </c>
      <c r="J16" s="161">
        <f t="shared" si="2"/>
        <v>359.12527247032489</v>
      </c>
      <c r="K16" s="152">
        <v>99</v>
      </c>
      <c r="L16" s="160">
        <f t="shared" si="3"/>
        <v>41.46925274676024</v>
      </c>
      <c r="M16" s="162">
        <v>9.4145212285456186</v>
      </c>
      <c r="N16" s="152">
        <v>95.10000000000008</v>
      </c>
      <c r="O16" s="163">
        <f t="shared" si="4"/>
        <v>0.89532096883468915</v>
      </c>
      <c r="P16" s="160">
        <f t="shared" si="5"/>
        <v>6.5507426648448597</v>
      </c>
      <c r="Q16" s="152">
        <v>46.999999999999929</v>
      </c>
      <c r="R16" s="170">
        <v>25.373387999999998</v>
      </c>
      <c r="S16" s="165">
        <f t="shared" si="6"/>
        <v>51.340621251063943</v>
      </c>
      <c r="T16" s="171">
        <v>0.21074560869902484</v>
      </c>
      <c r="U16" s="165">
        <f t="shared" si="7"/>
        <v>6.7688663514700875E-3</v>
      </c>
      <c r="V16" s="165">
        <f t="shared" si="8"/>
        <v>2.6861032561685004E-2</v>
      </c>
      <c r="W16" s="165">
        <f t="shared" si="9"/>
        <v>4.0873320380095537</v>
      </c>
      <c r="X16" s="160">
        <v>410.63732673304395</v>
      </c>
      <c r="Y16" s="160">
        <f t="shared" si="10"/>
        <v>62.685614096362769</v>
      </c>
      <c r="Z16" s="160">
        <f t="shared" si="11"/>
        <v>1683.8003213916209</v>
      </c>
      <c r="AA16" s="166">
        <v>48.083333333255723</v>
      </c>
      <c r="AB16" s="167">
        <v>1756.7962599971784</v>
      </c>
      <c r="AC16" s="165">
        <f t="shared" si="12"/>
        <v>256.21691881836682</v>
      </c>
      <c r="AD16" s="168">
        <f t="shared" si="13"/>
        <v>0.12728029876541821</v>
      </c>
      <c r="AE16" s="167">
        <f t="shared" si="14"/>
        <v>1.4974785903080878E-2</v>
      </c>
      <c r="AF16" s="168">
        <f t="shared" si="19"/>
        <v>66.778918007386153</v>
      </c>
      <c r="AG16" s="165">
        <f t="shared" si="15"/>
        <v>2013.0131788155452</v>
      </c>
      <c r="AH16" s="165">
        <f t="shared" si="16"/>
        <v>4.2782186265772051</v>
      </c>
      <c r="AI16" s="165">
        <f t="shared" si="17"/>
        <v>0.62394941262837</v>
      </c>
      <c r="AJ16" s="165">
        <f t="shared" si="18"/>
        <v>4.9021680392055753</v>
      </c>
    </row>
    <row r="17" spans="1:42" x14ac:dyDescent="0.3">
      <c r="A17" s="157" t="s">
        <v>13</v>
      </c>
      <c r="B17" s="152" t="s">
        <v>510</v>
      </c>
      <c r="C17" s="157" t="s">
        <v>185</v>
      </c>
      <c r="D17" s="159">
        <v>349.5</v>
      </c>
      <c r="E17" s="152"/>
      <c r="F17" s="160">
        <v>149.7216479300468</v>
      </c>
      <c r="G17" s="160">
        <f t="shared" si="0"/>
        <v>139.95582797767841</v>
      </c>
      <c r="H17" s="160">
        <f t="shared" si="1"/>
        <v>209.54417202232159</v>
      </c>
      <c r="I17" s="152">
        <v>150</v>
      </c>
      <c r="J17" s="161">
        <f t="shared" si="2"/>
        <v>359.54417202232162</v>
      </c>
      <c r="K17" s="152">
        <v>99</v>
      </c>
      <c r="L17" s="160">
        <f t="shared" si="3"/>
        <v>41.422784604042143</v>
      </c>
      <c r="M17" s="162">
        <v>1.9992095754290875</v>
      </c>
      <c r="N17" s="152">
        <v>93.000000000000085</v>
      </c>
      <c r="O17" s="163">
        <f t="shared" si="4"/>
        <v>0.18592649051490531</v>
      </c>
      <c r="P17" s="160">
        <f t="shared" si="5"/>
        <v>1.3284655108793237</v>
      </c>
      <c r="Q17" s="152">
        <v>47.799999999999955</v>
      </c>
      <c r="R17" s="170">
        <v>5.4944519999999999</v>
      </c>
      <c r="S17" s="165">
        <f t="shared" si="6"/>
        <v>10.690042594142279</v>
      </c>
      <c r="T17" s="171">
        <v>0.212358809336544</v>
      </c>
      <c r="U17" s="165">
        <f t="shared" si="7"/>
        <v>5.6205693692262526E-3</v>
      </c>
      <c r="V17" s="165">
        <f t="shared" si="8"/>
        <v>4.6493507574781046E-3</v>
      </c>
      <c r="W17" s="165">
        <f t="shared" si="9"/>
        <v>0.69088657951911547</v>
      </c>
      <c r="X17" s="160">
        <v>190.304357148918</v>
      </c>
      <c r="Y17" s="160">
        <f t="shared" si="10"/>
        <v>143.25125913351997</v>
      </c>
      <c r="Z17" s="160">
        <f t="shared" si="11"/>
        <v>666.02535016212323</v>
      </c>
      <c r="AA17" s="166">
        <v>48.083333333255723</v>
      </c>
      <c r="AB17" s="167">
        <v>1398.6470192418062</v>
      </c>
      <c r="AC17" s="165">
        <f t="shared" si="12"/>
        <v>98.970372434564055</v>
      </c>
      <c r="AD17" s="168">
        <f t="shared" si="13"/>
        <v>6.6085218417356095E-2</v>
      </c>
      <c r="AE17" s="167">
        <f t="shared" si="14"/>
        <v>1.2481526823743785E-2</v>
      </c>
      <c r="AF17" s="168">
        <f t="shared" si="19"/>
        <v>80.118403310858241</v>
      </c>
      <c r="AG17" s="165">
        <f t="shared" si="15"/>
        <v>1497.6173916763703</v>
      </c>
      <c r="AH17" s="165">
        <f t="shared" si="16"/>
        <v>7.3495270428691724</v>
      </c>
      <c r="AI17" s="165">
        <f t="shared" si="17"/>
        <v>0.52006361765599107</v>
      </c>
      <c r="AJ17" s="165">
        <f t="shared" si="18"/>
        <v>7.869590660525164</v>
      </c>
    </row>
    <row r="18" spans="1:42" x14ac:dyDescent="0.3">
      <c r="A18" s="157" t="s">
        <v>14</v>
      </c>
      <c r="B18" s="152" t="s">
        <v>510</v>
      </c>
      <c r="C18" s="157" t="s">
        <v>185</v>
      </c>
      <c r="D18" s="159">
        <v>356.1</v>
      </c>
      <c r="E18" s="152"/>
      <c r="F18" s="160">
        <v>151.36847373382352</v>
      </c>
      <c r="G18" s="160">
        <f t="shared" si="0"/>
        <v>141.66454317460577</v>
      </c>
      <c r="H18" s="160">
        <f t="shared" si="1"/>
        <v>214.43545682539425</v>
      </c>
      <c r="I18" s="152">
        <v>150</v>
      </c>
      <c r="J18" s="161">
        <f t="shared" si="2"/>
        <v>364.43545682539423</v>
      </c>
      <c r="K18" s="152">
        <v>99</v>
      </c>
      <c r="L18" s="160">
        <f t="shared" si="3"/>
        <v>40.874581869263444</v>
      </c>
      <c r="M18" s="162">
        <v>13.678861788617885</v>
      </c>
      <c r="N18" s="152">
        <v>91.999999999999972</v>
      </c>
      <c r="O18" s="163">
        <f t="shared" si="4"/>
        <v>1.2584552845528452</v>
      </c>
      <c r="P18" s="160">
        <f t="shared" si="5"/>
        <v>8.8833469289613376</v>
      </c>
      <c r="Q18" s="152">
        <v>47.100000000000144</v>
      </c>
      <c r="R18" s="164">
        <v>4.5596642000000003</v>
      </c>
      <c r="S18" s="165">
        <f t="shared" si="6"/>
        <v>8.9063504543524132</v>
      </c>
      <c r="T18" s="165">
        <v>0.22603974972462568</v>
      </c>
      <c r="U18" s="165">
        <f t="shared" si="7"/>
        <v>1.0837857485429342E-2</v>
      </c>
      <c r="V18" s="165">
        <f t="shared" si="8"/>
        <v>7.5694050771528626E-3</v>
      </c>
      <c r="W18" s="165">
        <f t="shared" si="9"/>
        <v>1.1112352631964952</v>
      </c>
      <c r="X18" s="160">
        <v>2430.1323697251623</v>
      </c>
      <c r="Y18" s="160">
        <f t="shared" si="10"/>
        <v>273.56044846143357</v>
      </c>
      <c r="Z18" s="160">
        <f t="shared" si="11"/>
        <v>2070.6898474921891</v>
      </c>
      <c r="AA18" s="166">
        <v>48.083333333255723</v>
      </c>
      <c r="AB18" s="167">
        <v>2239.6402055513886</v>
      </c>
      <c r="AC18" s="165">
        <f t="shared" si="12"/>
        <v>303.99001694619238</v>
      </c>
      <c r="AD18" s="168">
        <f t="shared" si="13"/>
        <v>0.11951030234563957</v>
      </c>
      <c r="AE18" s="167">
        <f t="shared" si="14"/>
        <v>3.0022069981042788E-3</v>
      </c>
      <c r="AF18" s="168">
        <f t="shared" si="19"/>
        <v>333.08829159063401</v>
      </c>
      <c r="AG18" s="165">
        <f t="shared" si="15"/>
        <v>2543.6302224975811</v>
      </c>
      <c r="AH18" s="165">
        <f t="shared" si="16"/>
        <v>0.92161243290820505</v>
      </c>
      <c r="AI18" s="165">
        <f t="shared" si="17"/>
        <v>0.12509195825434496</v>
      </c>
      <c r="AJ18" s="165">
        <f t="shared" si="18"/>
        <v>1.0467043911625502</v>
      </c>
    </row>
    <row r="19" spans="1:42" x14ac:dyDescent="0.3">
      <c r="A19" s="157" t="s">
        <v>15</v>
      </c>
      <c r="B19" s="152" t="s">
        <v>510</v>
      </c>
      <c r="C19" s="157" t="s">
        <v>185</v>
      </c>
      <c r="D19" s="159">
        <v>350.2</v>
      </c>
      <c r="E19" s="152"/>
      <c r="F19" s="160">
        <v>150.60919106331295</v>
      </c>
      <c r="G19" s="160">
        <f t="shared" si="0"/>
        <v>139.73948781133362</v>
      </c>
      <c r="H19" s="160">
        <f t="shared" si="1"/>
        <v>210.46051218866637</v>
      </c>
      <c r="I19" s="152">
        <v>150</v>
      </c>
      <c r="J19" s="161">
        <f t="shared" si="2"/>
        <v>360.46051218866637</v>
      </c>
      <c r="K19" s="152">
        <v>99</v>
      </c>
      <c r="L19" s="160">
        <f t="shared" si="3"/>
        <v>41.316825000616191</v>
      </c>
      <c r="M19" s="162">
        <v>0.96939927732610653</v>
      </c>
      <c r="N19" s="152">
        <v>94.10000000000008</v>
      </c>
      <c r="O19" s="163">
        <f t="shared" si="4"/>
        <v>9.1220471996386707E-2</v>
      </c>
      <c r="P19" s="160">
        <f t="shared" si="5"/>
        <v>0.65278951157704368</v>
      </c>
      <c r="Q19" s="152">
        <v>46.300000000000011</v>
      </c>
      <c r="R19" s="170">
        <v>6.3230199999999996</v>
      </c>
      <c r="S19" s="165">
        <f t="shared" si="6"/>
        <v>12.850889460043202</v>
      </c>
      <c r="T19" s="171">
        <v>0.29782865409970816</v>
      </c>
      <c r="U19" s="165">
        <f t="shared" si="7"/>
        <v>9.3116134475191098E-2</v>
      </c>
      <c r="V19" s="165">
        <f t="shared" si="8"/>
        <v>9.2833139987713684E-2</v>
      </c>
      <c r="W19" s="165">
        <f t="shared" si="9"/>
        <v>13.81622273752504</v>
      </c>
      <c r="X19" s="160">
        <v>289.2539424439729</v>
      </c>
      <c r="Y19" s="160">
        <f t="shared" si="10"/>
        <v>443.10445758415727</v>
      </c>
      <c r="Z19" s="160">
        <f t="shared" si="11"/>
        <v>41134.778140090013</v>
      </c>
      <c r="AA19" s="166">
        <v>48.083333333255723</v>
      </c>
      <c r="AB19" s="167">
        <v>731.47606448723218</v>
      </c>
      <c r="AC19" s="165">
        <f t="shared" si="12"/>
        <v>6122.0298819729342</v>
      </c>
      <c r="AD19" s="168">
        <f t="shared" si="13"/>
        <v>0.8932697993987968</v>
      </c>
      <c r="AE19" s="167">
        <f t="shared" si="14"/>
        <v>0.50795752661455895</v>
      </c>
      <c r="AF19" s="168">
        <f t="shared" si="19"/>
        <v>1.9686685354675446</v>
      </c>
      <c r="AG19" s="165">
        <f t="shared" si="15"/>
        <v>6853.5059464601663</v>
      </c>
      <c r="AH19" s="165">
        <f t="shared" si="16"/>
        <v>2.5288369738604879</v>
      </c>
      <c r="AI19" s="165">
        <f t="shared" si="17"/>
        <v>21.164896942273284</v>
      </c>
      <c r="AJ19" s="165">
        <f t="shared" si="18"/>
        <v>23.69373391613377</v>
      </c>
    </row>
    <row r="20" spans="1:42" x14ac:dyDescent="0.3">
      <c r="A20" s="157" t="s">
        <v>16</v>
      </c>
      <c r="B20" s="152" t="s">
        <v>510</v>
      </c>
      <c r="C20" s="157" t="s">
        <v>185</v>
      </c>
      <c r="D20" s="159">
        <v>349.4</v>
      </c>
      <c r="E20" s="152"/>
      <c r="F20" s="160">
        <v>152.24654205355705</v>
      </c>
      <c r="G20" s="160">
        <f t="shared" si="0"/>
        <v>138.51527840798519</v>
      </c>
      <c r="H20" s="160">
        <f t="shared" si="1"/>
        <v>210.88472159201478</v>
      </c>
      <c r="I20" s="152">
        <v>150</v>
      </c>
      <c r="J20" s="161">
        <f t="shared" si="2"/>
        <v>360.88472159201478</v>
      </c>
      <c r="K20" s="152">
        <v>99</v>
      </c>
      <c r="L20" s="160">
        <f t="shared" si="3"/>
        <v>41.268256508137114</v>
      </c>
      <c r="M20" s="162">
        <v>4.5805103884372178</v>
      </c>
      <c r="N20" s="152">
        <v>94.899999999999878</v>
      </c>
      <c r="O20" s="163">
        <f t="shared" si="4"/>
        <v>0.4346904358626914</v>
      </c>
      <c r="P20" s="160">
        <f t="shared" si="5"/>
        <v>3.1382129167177286</v>
      </c>
      <c r="Q20" s="152">
        <v>45.900000000000048</v>
      </c>
      <c r="R20" s="170">
        <v>14.399388</v>
      </c>
      <c r="S20" s="165">
        <f t="shared" si="6"/>
        <v>29.771283686274437</v>
      </c>
      <c r="T20" s="171">
        <v>0.22684142368993263</v>
      </c>
      <c r="U20" s="165">
        <f t="shared" si="7"/>
        <v>2.2543738197737917E-2</v>
      </c>
      <c r="V20" s="165">
        <f t="shared" si="8"/>
        <v>5.2128979886769407E-2</v>
      </c>
      <c r="W20" s="165">
        <f t="shared" si="9"/>
        <v>7.8268494446463217</v>
      </c>
      <c r="X20" s="160">
        <v>50</v>
      </c>
      <c r="Y20" s="160">
        <f t="shared" si="10"/>
        <v>15.93263469589413</v>
      </c>
      <c r="Z20" s="160">
        <f t="shared" si="11"/>
        <v>830.55199360550944</v>
      </c>
      <c r="AA20" s="166">
        <v>48.083333333255723</v>
      </c>
      <c r="AB20" s="167">
        <v>1260.5990555598498</v>
      </c>
      <c r="AC20" s="165">
        <f t="shared" si="12"/>
        <v>124.70233302131166</v>
      </c>
      <c r="AD20" s="168">
        <f t="shared" si="13"/>
        <v>9.0018196797617411E-2</v>
      </c>
      <c r="AE20" s="167">
        <f t="shared" si="14"/>
        <v>5.9857119850229609E-2</v>
      </c>
      <c r="AF20" s="168">
        <f t="shared" si="19"/>
        <v>16.706450335434308</v>
      </c>
      <c r="AG20" s="165">
        <f t="shared" si="15"/>
        <v>1385.3013885811615</v>
      </c>
      <c r="AH20" s="165">
        <f t="shared" si="16"/>
        <v>25.211981111196998</v>
      </c>
      <c r="AI20" s="165">
        <f t="shared" si="17"/>
        <v>2.4940466604262332</v>
      </c>
      <c r="AJ20" s="165">
        <f t="shared" si="18"/>
        <v>27.70602777162323</v>
      </c>
      <c r="AM20" s="154"/>
    </row>
    <row r="21" spans="1:42" x14ac:dyDescent="0.3">
      <c r="A21" s="157" t="s">
        <v>17</v>
      </c>
      <c r="B21" s="152" t="s">
        <v>510</v>
      </c>
      <c r="C21" s="157" t="s">
        <v>185</v>
      </c>
      <c r="D21" s="159">
        <v>350.4</v>
      </c>
      <c r="E21" s="152"/>
      <c r="F21" s="160">
        <v>149.57970265535033</v>
      </c>
      <c r="G21" s="160">
        <f t="shared" si="0"/>
        <v>140.39603231833098</v>
      </c>
      <c r="H21" s="160">
        <f t="shared" si="1"/>
        <v>210.003967681669</v>
      </c>
      <c r="I21" s="152">
        <v>150</v>
      </c>
      <c r="J21" s="161">
        <f t="shared" si="2"/>
        <v>360.003967681669</v>
      </c>
      <c r="K21" s="152">
        <v>99</v>
      </c>
      <c r="L21" s="160">
        <f t="shared" si="3"/>
        <v>41.369283306998106</v>
      </c>
      <c r="M21" s="162">
        <v>2.203590785907859</v>
      </c>
      <c r="N21" s="152">
        <v>93.600000000000023</v>
      </c>
      <c r="O21" s="163">
        <f t="shared" si="4"/>
        <v>0.20625609756097565</v>
      </c>
      <c r="P21" s="160">
        <f t="shared" si="5"/>
        <v>1.469102040528574</v>
      </c>
      <c r="Q21" s="152">
        <v>45.999999999999929</v>
      </c>
      <c r="R21" s="170">
        <v>3.7949079999999999</v>
      </c>
      <c r="S21" s="165">
        <f t="shared" si="6"/>
        <v>7.7218128000000137</v>
      </c>
      <c r="T21" s="171">
        <v>0.21745374659480518</v>
      </c>
      <c r="U21" s="165">
        <f t="shared" si="7"/>
        <v>1.219033589725918E-2</v>
      </c>
      <c r="V21" s="165">
        <f t="shared" si="8"/>
        <v>7.2933792714032306E-3</v>
      </c>
      <c r="W21" s="165">
        <f t="shared" si="9"/>
        <v>1.0803871168256047</v>
      </c>
      <c r="X21" s="160">
        <v>50</v>
      </c>
      <c r="Y21" s="160">
        <f t="shared" si="10"/>
        <v>34.034395583584043</v>
      </c>
      <c r="Z21" s="160">
        <f t="shared" si="11"/>
        <v>248.22575526404952</v>
      </c>
      <c r="AA21" s="166">
        <v>48.083333333255723</v>
      </c>
      <c r="AB21" s="167">
        <v>1113.6437147773315</v>
      </c>
      <c r="AC21" s="165">
        <f t="shared" si="12"/>
        <v>36.77032251745046</v>
      </c>
      <c r="AD21" s="168">
        <f t="shared" si="13"/>
        <v>3.1962685889957057E-2</v>
      </c>
      <c r="AE21" s="167">
        <f t="shared" si="14"/>
        <v>1.764975480837622E-2</v>
      </c>
      <c r="AF21" s="168">
        <f t="shared" si="19"/>
        <v>56.658010882135315</v>
      </c>
      <c r="AG21" s="165">
        <f t="shared" si="15"/>
        <v>1150.414037294782</v>
      </c>
      <c r="AH21" s="165">
        <f t="shared" si="16"/>
        <v>22.272874295546629</v>
      </c>
      <c r="AI21" s="165">
        <f t="shared" si="17"/>
        <v>0.7354064503490092</v>
      </c>
      <c r="AJ21" s="165">
        <f t="shared" si="18"/>
        <v>23.00828074589564</v>
      </c>
    </row>
    <row r="22" spans="1:42" x14ac:dyDescent="0.3">
      <c r="A22" s="157" t="s">
        <v>23</v>
      </c>
      <c r="B22" s="152" t="s">
        <v>510</v>
      </c>
      <c r="C22" s="157" t="s">
        <v>185</v>
      </c>
      <c r="D22" s="159">
        <v>345</v>
      </c>
      <c r="E22" s="152"/>
      <c r="F22" s="160">
        <v>152.41181713181774</v>
      </c>
      <c r="G22" s="160">
        <f t="shared" si="0"/>
        <v>136.6813978522367</v>
      </c>
      <c r="H22" s="160">
        <f t="shared" si="1"/>
        <v>208.3186021477633</v>
      </c>
      <c r="I22" s="152">
        <v>150</v>
      </c>
      <c r="J22" s="161">
        <f t="shared" si="2"/>
        <v>358.31860214776327</v>
      </c>
      <c r="K22" s="152">
        <v>99</v>
      </c>
      <c r="L22" s="160">
        <f t="shared" si="3"/>
        <v>41.562649168105104</v>
      </c>
      <c r="M22" s="162">
        <v>2.0703477868112015</v>
      </c>
      <c r="N22" s="152">
        <v>100.19999999999996</v>
      </c>
      <c r="O22" s="163">
        <f t="shared" si="4"/>
        <v>0.20744884823848231</v>
      </c>
      <c r="P22" s="160">
        <f t="shared" si="5"/>
        <v>1.5177548042254496</v>
      </c>
      <c r="Q22" s="152">
        <v>48.099999999999923</v>
      </c>
      <c r="R22" s="170">
        <v>34.482676000000005</v>
      </c>
      <c r="S22" s="165">
        <f t="shared" si="6"/>
        <v>71.832934203742298</v>
      </c>
      <c r="T22" s="171">
        <v>0.21324753245464292</v>
      </c>
      <c r="U22" s="165">
        <f t="shared" si="7"/>
        <v>8.4153617632853894E-3</v>
      </c>
      <c r="V22" s="165">
        <f t="shared" si="8"/>
        <v>4.6619222896697232E-2</v>
      </c>
      <c r="W22" s="165">
        <f t="shared" si="9"/>
        <v>7.1008917506832532</v>
      </c>
      <c r="X22" s="160">
        <v>228.43186428936039</v>
      </c>
      <c r="Y22" s="160">
        <f t="shared" si="10"/>
        <v>150.50643467139952</v>
      </c>
      <c r="Z22" s="160">
        <f t="shared" si="11"/>
        <v>7016.493025333174</v>
      </c>
      <c r="AA22" s="166">
        <v>48.033333333267365</v>
      </c>
      <c r="AB22" s="167">
        <v>1528.433277619544</v>
      </c>
      <c r="AC22" s="165">
        <f t="shared" si="12"/>
        <v>1068.7299003828889</v>
      </c>
      <c r="AD22" s="168">
        <f>AC22/(AB22+AC22)</f>
        <v>0.41149894216692451</v>
      </c>
      <c r="AE22" s="167">
        <f t="shared" si="14"/>
        <v>0.11228520017985953</v>
      </c>
      <c r="AF22" s="168">
        <f t="shared" si="19"/>
        <v>8.905893193387822</v>
      </c>
      <c r="AG22" s="165">
        <f t="shared" si="15"/>
        <v>2597.1631780024327</v>
      </c>
      <c r="AH22" s="165">
        <f t="shared" si="16"/>
        <v>6.690981060695802</v>
      </c>
      <c r="AI22" s="165">
        <f t="shared" si="17"/>
        <v>4.6785500074941462</v>
      </c>
      <c r="AJ22" s="165">
        <f t="shared" si="18"/>
        <v>11.369531068189946</v>
      </c>
      <c r="AM22" s="231"/>
      <c r="AN22" s="155"/>
      <c r="AO22" s="155"/>
      <c r="AP22" s="155"/>
    </row>
    <row r="23" spans="1:42" x14ac:dyDescent="0.3">
      <c r="A23" s="157" t="s">
        <v>18</v>
      </c>
      <c r="B23" s="152" t="s">
        <v>510</v>
      </c>
      <c r="C23" s="157" t="s">
        <v>185</v>
      </c>
      <c r="D23" s="159">
        <v>353.1</v>
      </c>
      <c r="E23" s="152"/>
      <c r="F23" s="160">
        <v>150.07423382891506</v>
      </c>
      <c r="G23" s="160">
        <f t="shared" si="0"/>
        <v>141.19807330553243</v>
      </c>
      <c r="H23" s="160">
        <f t="shared" si="1"/>
        <v>211.90192669446759</v>
      </c>
      <c r="I23" s="152">
        <v>150</v>
      </c>
      <c r="J23" s="161">
        <f t="shared" si="2"/>
        <v>361.90192669446759</v>
      </c>
      <c r="K23" s="152">
        <v>99</v>
      </c>
      <c r="L23" s="160">
        <f t="shared" si="3"/>
        <v>41.153625966961783</v>
      </c>
      <c r="M23" s="162">
        <v>1.3002484191508581</v>
      </c>
      <c r="N23" s="152">
        <v>94.7</v>
      </c>
      <c r="O23" s="163">
        <f t="shared" si="4"/>
        <v>0.12313352529358626</v>
      </c>
      <c r="P23" s="160">
        <f t="shared" si="5"/>
        <v>0.87206236183650265</v>
      </c>
      <c r="Q23" s="152">
        <f>47.1999999999999-5</f>
        <v>42.199999999999903</v>
      </c>
      <c r="R23" s="170">
        <v>8.0270279999999996</v>
      </c>
      <c r="S23" s="165">
        <f t="shared" si="6"/>
        <v>18.01325951658772</v>
      </c>
      <c r="T23" s="171">
        <v>0.26961450882842314</v>
      </c>
      <c r="U23" s="165">
        <f t="shared" si="7"/>
        <v>6.3969715566251528E-2</v>
      </c>
      <c r="V23" s="165">
        <f t="shared" si="8"/>
        <v>8.9749176782769738E-2</v>
      </c>
      <c r="W23" s="165">
        <f t="shared" si="9"/>
        <v>13.233020246818246</v>
      </c>
      <c r="X23" s="160">
        <v>546.98862914036158</v>
      </c>
      <c r="Y23" s="160">
        <f t="shared" si="10"/>
        <v>627.23568070113879</v>
      </c>
      <c r="Z23" s="160">
        <f t="shared" si="11"/>
        <v>56293.885991707422</v>
      </c>
      <c r="AA23" s="166">
        <v>48.033333333267365</v>
      </c>
      <c r="AB23" s="167">
        <v>2026.7896698969134</v>
      </c>
      <c r="AC23" s="165">
        <f t="shared" si="12"/>
        <v>8300.2224622449939</v>
      </c>
      <c r="AD23" s="168">
        <f t="shared" si="13"/>
        <v>0.80373900563274159</v>
      </c>
      <c r="AE23" s="167">
        <f t="shared" si="14"/>
        <v>0.36418552138267979</v>
      </c>
      <c r="AF23" s="168">
        <f t="shared" si="19"/>
        <v>2.7458532568877647</v>
      </c>
      <c r="AG23" s="165">
        <f t="shared" si="15"/>
        <v>10327.012132141906</v>
      </c>
      <c r="AH23" s="165">
        <f t="shared" si="16"/>
        <v>3.7053597861479921</v>
      </c>
      <c r="AI23" s="165">
        <f t="shared" si="17"/>
        <v>15.174396724278324</v>
      </c>
      <c r="AJ23" s="165">
        <f t="shared" si="18"/>
        <v>18.879756510426315</v>
      </c>
      <c r="AM23" s="231"/>
      <c r="AN23" s="155"/>
      <c r="AO23" s="155"/>
      <c r="AP23" s="155"/>
    </row>
    <row r="24" spans="1:42" x14ac:dyDescent="0.3">
      <c r="A24" s="157" t="s">
        <v>19</v>
      </c>
      <c r="B24" s="152" t="s">
        <v>510</v>
      </c>
      <c r="C24" s="157" t="s">
        <v>185</v>
      </c>
      <c r="D24" s="159">
        <v>358.9</v>
      </c>
      <c r="E24" s="152"/>
      <c r="F24" s="160">
        <v>152.26037535342482</v>
      </c>
      <c r="G24" s="160">
        <f t="shared" si="0"/>
        <v>142.27363274837342</v>
      </c>
      <c r="H24" s="160">
        <f t="shared" si="1"/>
        <v>216.62636725162656</v>
      </c>
      <c r="I24" s="152">
        <v>150</v>
      </c>
      <c r="J24" s="161">
        <f t="shared" si="2"/>
        <v>366.62636725162656</v>
      </c>
      <c r="K24" s="152">
        <v>99</v>
      </c>
      <c r="L24" s="160">
        <f t="shared" si="3"/>
        <v>40.628307371273557</v>
      </c>
      <c r="M24" s="162">
        <v>1.3318654019873533</v>
      </c>
      <c r="N24" s="152">
        <v>92.099999999999966</v>
      </c>
      <c r="O24" s="163">
        <f t="shared" si="4"/>
        <v>0.12266480352303519</v>
      </c>
      <c r="P24" s="160">
        <f t="shared" si="5"/>
        <v>0.86217524043953675</v>
      </c>
      <c r="Q24" s="152">
        <f>47.8999999999999-5</f>
        <v>42.899999999999899</v>
      </c>
      <c r="R24" s="164">
        <v>8.1091192000000003</v>
      </c>
      <c r="S24" s="165">
        <f t="shared" si="6"/>
        <v>17.409088072727307</v>
      </c>
      <c r="T24" s="165">
        <v>0.23673658028408365</v>
      </c>
      <c r="U24" s="165">
        <f t="shared" si="7"/>
        <v>2.7118796038264253E-2</v>
      </c>
      <c r="V24" s="165">
        <f t="shared" si="8"/>
        <v>3.7246850168907913E-2</v>
      </c>
      <c r="W24" s="165">
        <f t="shared" si="9"/>
        <v>5.4503250666386114</v>
      </c>
      <c r="X24" s="160">
        <v>50</v>
      </c>
      <c r="Y24" s="160">
        <f t="shared" si="10"/>
        <v>57.992850704585315</v>
      </c>
      <c r="Z24" s="160">
        <f t="shared" si="11"/>
        <v>2160.0510210615348</v>
      </c>
      <c r="AA24" s="166">
        <v>48.033333333267365</v>
      </c>
      <c r="AB24" s="167">
        <v>553.13266346927765</v>
      </c>
      <c r="AC24" s="165">
        <f t="shared" si="12"/>
        <v>316.07988788103205</v>
      </c>
      <c r="AD24" s="168">
        <f t="shared" si="13"/>
        <v>0.3636393508009132</v>
      </c>
      <c r="AE24" s="167">
        <f t="shared" si="14"/>
        <v>0.15171834618289537</v>
      </c>
      <c r="AF24" s="168">
        <f t="shared" si="19"/>
        <v>6.5911606945313475</v>
      </c>
      <c r="AG24" s="165">
        <f t="shared" si="15"/>
        <v>869.2125513503097</v>
      </c>
      <c r="AH24" s="165">
        <f t="shared" si="16"/>
        <v>11.062653269385553</v>
      </c>
      <c r="AI24" s="165">
        <f t="shared" si="17"/>
        <v>6.3215977576206406</v>
      </c>
      <c r="AJ24" s="165">
        <f t="shared" si="18"/>
        <v>17.384251027006194</v>
      </c>
      <c r="AM24" s="231"/>
      <c r="AN24" s="155"/>
      <c r="AO24" s="155"/>
      <c r="AP24" s="155"/>
    </row>
    <row r="25" spans="1:42" x14ac:dyDescent="0.3">
      <c r="A25" s="157" t="s">
        <v>20</v>
      </c>
      <c r="B25" s="152" t="s">
        <v>510</v>
      </c>
      <c r="C25" s="157" t="s">
        <v>185</v>
      </c>
      <c r="D25" s="159">
        <v>354.9</v>
      </c>
      <c r="E25" s="152"/>
      <c r="F25" s="160">
        <v>154.11935815025436</v>
      </c>
      <c r="G25" s="160">
        <f t="shared" si="0"/>
        <v>139.65878183517077</v>
      </c>
      <c r="H25" s="160">
        <f t="shared" si="1"/>
        <v>215.24121816482921</v>
      </c>
      <c r="I25" s="152">
        <v>150</v>
      </c>
      <c r="J25" s="161">
        <f t="shared" si="2"/>
        <v>365.24121816482921</v>
      </c>
      <c r="K25" s="152">
        <v>99</v>
      </c>
      <c r="L25" s="160">
        <f t="shared" si="3"/>
        <v>40.77894683761393</v>
      </c>
      <c r="M25" s="162">
        <v>16.05351465913105</v>
      </c>
      <c r="N25" s="152">
        <v>95.500000000000028</v>
      </c>
      <c r="O25" s="163">
        <f t="shared" si="4"/>
        <v>1.5331106499470157</v>
      </c>
      <c r="P25" s="160">
        <f t="shared" si="5"/>
        <v>10.977545628003801</v>
      </c>
      <c r="Q25" s="152">
        <v>48.799999999999955</v>
      </c>
      <c r="R25" s="170">
        <v>9.2638040000000004</v>
      </c>
      <c r="S25" s="165">
        <f t="shared" si="6"/>
        <v>18.128960696721336</v>
      </c>
      <c r="T25" s="171">
        <v>0.20976067286816885</v>
      </c>
      <c r="U25" s="165">
        <f t="shared" si="7"/>
        <v>4.6316607515862196E-3</v>
      </c>
      <c r="V25" s="165">
        <f t="shared" si="8"/>
        <v>6.6000237440559002E-3</v>
      </c>
      <c r="W25" s="165">
        <f t="shared" si="9"/>
        <v>0.98318046904689282</v>
      </c>
      <c r="X25" s="160">
        <v>157.5355078087168</v>
      </c>
      <c r="Y25" s="160">
        <f t="shared" si="10"/>
        <v>14.350703986767547</v>
      </c>
      <c r="Z25" s="160">
        <f t="shared" si="11"/>
        <v>94.714987056583468</v>
      </c>
      <c r="AA25" s="166">
        <v>48.066666666534729</v>
      </c>
      <c r="AB25" s="167">
        <v>898.32544971363131</v>
      </c>
      <c r="AC25" s="165">
        <f t="shared" si="12"/>
        <v>14.10933187686323</v>
      </c>
      <c r="AD25" s="168">
        <f t="shared" si="13"/>
        <v>1.5463386711616579E-2</v>
      </c>
      <c r="AE25" s="167">
        <f t="shared" si="14"/>
        <v>2.1495088298181158E-3</v>
      </c>
      <c r="AF25" s="168">
        <f t="shared" si="19"/>
        <v>465.22255974385394</v>
      </c>
      <c r="AG25" s="165">
        <f t="shared" si="15"/>
        <v>912.43478159049459</v>
      </c>
      <c r="AH25" s="165">
        <f t="shared" si="16"/>
        <v>5.7023680705964939</v>
      </c>
      <c r="AI25" s="165">
        <f t="shared" si="17"/>
        <v>8.956286790908817E-2</v>
      </c>
      <c r="AJ25" s="165">
        <f t="shared" si="18"/>
        <v>5.7919309385055824</v>
      </c>
      <c r="AM25" s="231"/>
      <c r="AN25" s="155"/>
      <c r="AO25" s="155"/>
      <c r="AP25" s="155"/>
    </row>
    <row r="26" spans="1:42" x14ac:dyDescent="0.3">
      <c r="A26" s="157" t="s">
        <v>21</v>
      </c>
      <c r="B26" s="152" t="s">
        <v>510</v>
      </c>
      <c r="C26" s="157" t="s">
        <v>185</v>
      </c>
      <c r="D26" s="159">
        <v>353.5</v>
      </c>
      <c r="E26" s="152"/>
      <c r="F26" s="160">
        <v>155.10871945370067</v>
      </c>
      <c r="G26" s="160">
        <f t="shared" si="0"/>
        <v>138.5683722441938</v>
      </c>
      <c r="H26" s="160">
        <f t="shared" si="1"/>
        <v>214.9316277558062</v>
      </c>
      <c r="I26" s="152">
        <v>150</v>
      </c>
      <c r="J26" s="161">
        <f t="shared" si="2"/>
        <v>364.93162775580618</v>
      </c>
      <c r="K26" s="152">
        <v>99</v>
      </c>
      <c r="L26" s="160">
        <f t="shared" si="3"/>
        <v>40.814365768457897</v>
      </c>
      <c r="M26" s="162">
        <v>2.6377597109304425</v>
      </c>
      <c r="N26" s="152">
        <v>99.8</v>
      </c>
      <c r="O26" s="163">
        <f t="shared" si="4"/>
        <v>0.26324841915085812</v>
      </c>
      <c r="P26" s="160">
        <f t="shared" si="5"/>
        <v>1.8997727611820783</v>
      </c>
      <c r="Q26" s="152">
        <v>47.999999999999929</v>
      </c>
      <c r="R26" s="170">
        <v>4.6249639999999994</v>
      </c>
      <c r="S26" s="165">
        <f t="shared" si="6"/>
        <v>9.616070983333346</v>
      </c>
      <c r="T26" s="171">
        <v>0.21157288161592111</v>
      </c>
      <c r="U26" s="165">
        <f t="shared" si="7"/>
        <v>4.7492690636476986E-3</v>
      </c>
      <c r="V26" s="165">
        <f t="shared" si="8"/>
        <v>3.5866024200736004E-3</v>
      </c>
      <c r="W26" s="165">
        <f t="shared" si="9"/>
        <v>0.53886055705998015</v>
      </c>
      <c r="X26" s="160">
        <v>153.731565396924</v>
      </c>
      <c r="Y26" s="160">
        <f t="shared" si="10"/>
        <v>80.921028313548931</v>
      </c>
      <c r="Z26" s="160">
        <f t="shared" si="11"/>
        <v>290.23155598421897</v>
      </c>
      <c r="AA26" s="166">
        <v>48.033333333267365</v>
      </c>
      <c r="AB26" s="167">
        <v>1159.6601074553773</v>
      </c>
      <c r="AC26" s="165">
        <f t="shared" si="12"/>
        <v>43.605150394905408</v>
      </c>
      <c r="AD26" s="168">
        <f t="shared" si="13"/>
        <v>3.6239017216211367E-2</v>
      </c>
      <c r="AE26" s="167">
        <f t="shared" si="14"/>
        <v>6.8074738377618162E-3</v>
      </c>
      <c r="AF26" s="168">
        <f t="shared" si="19"/>
        <v>146.89736954299971</v>
      </c>
      <c r="AG26" s="165">
        <f t="shared" si="15"/>
        <v>1203.2652578502828</v>
      </c>
      <c r="AH26" s="165">
        <f t="shared" si="16"/>
        <v>7.5434092176269534</v>
      </c>
      <c r="AI26" s="165">
        <f t="shared" si="17"/>
        <v>0.28364474324007566</v>
      </c>
      <c r="AJ26" s="165">
        <f t="shared" si="18"/>
        <v>7.8270539608670298</v>
      </c>
      <c r="AM26" s="231"/>
      <c r="AN26" s="155"/>
      <c r="AO26" s="155"/>
      <c r="AP26" s="155"/>
    </row>
    <row r="27" spans="1:42" x14ac:dyDescent="0.3">
      <c r="A27" s="157" t="s">
        <v>22</v>
      </c>
      <c r="B27" s="152" t="s">
        <v>510</v>
      </c>
      <c r="C27" s="157" t="s">
        <v>185</v>
      </c>
      <c r="D27" s="159">
        <v>350.2</v>
      </c>
      <c r="E27" s="152"/>
      <c r="F27" s="160">
        <v>156.49002472495087</v>
      </c>
      <c r="G27" s="160">
        <f t="shared" si="0"/>
        <v>136.53552428619389</v>
      </c>
      <c r="H27" s="160">
        <f t="shared" si="1"/>
        <v>213.6644757138061</v>
      </c>
      <c r="I27" s="152">
        <v>150</v>
      </c>
      <c r="J27" s="161">
        <f t="shared" si="2"/>
        <v>363.6644757138061</v>
      </c>
      <c r="K27" s="152">
        <v>99</v>
      </c>
      <c r="L27" s="160">
        <f t="shared" si="3"/>
        <v>40.954749868936211</v>
      </c>
      <c r="M27" s="162">
        <v>3.4123757904245706</v>
      </c>
      <c r="N27" s="152">
        <v>99.19999999999996</v>
      </c>
      <c r="O27" s="163">
        <f t="shared" si="4"/>
        <v>0.33850767841011725</v>
      </c>
      <c r="P27" s="160">
        <f t="shared" si="5"/>
        <v>2.4792645004282319</v>
      </c>
      <c r="Q27" s="152">
        <v>48.000000000000043</v>
      </c>
      <c r="R27" s="170">
        <v>8.9411559999999994</v>
      </c>
      <c r="S27" s="165">
        <f t="shared" si="6"/>
        <v>18.47838906666664</v>
      </c>
      <c r="T27" s="171">
        <v>0.21457819905328429</v>
      </c>
      <c r="U27" s="165">
        <f t="shared" si="7"/>
        <v>9.6417493675260979E-3</v>
      </c>
      <c r="V27" s="165">
        <f t="shared" si="8"/>
        <v>1.3944004730825002E-2</v>
      </c>
      <c r="W27" s="165">
        <f t="shared" si="9"/>
        <v>2.1261756154284686</v>
      </c>
      <c r="X27" s="160">
        <v>154.69900326147837</v>
      </c>
      <c r="Y27" s="160">
        <f t="shared" si="10"/>
        <v>62.397135616130477</v>
      </c>
      <c r="Z27" s="160">
        <f t="shared" si="11"/>
        <v>870.0659542212527</v>
      </c>
      <c r="AA27" s="166">
        <v>48.033333333267365</v>
      </c>
      <c r="AB27" s="167">
        <v>1535.6692622106675</v>
      </c>
      <c r="AC27" s="165">
        <f t="shared" si="12"/>
        <v>132.66726821959983</v>
      </c>
      <c r="AD27" s="168">
        <f t="shared" si="13"/>
        <v>7.9520687702848938E-2</v>
      </c>
      <c r="AE27" s="167">
        <f t="shared" si="14"/>
        <v>2.0581997104975838E-2</v>
      </c>
      <c r="AF27" s="168">
        <f t="shared" si="19"/>
        <v>48.586150065983787</v>
      </c>
      <c r="AG27" s="165">
        <f t="shared" si="15"/>
        <v>1668.3365304302674</v>
      </c>
      <c r="AH27" s="165">
        <f t="shared" si="16"/>
        <v>9.9268206635760841</v>
      </c>
      <c r="AI27" s="165">
        <f t="shared" si="17"/>
        <v>0.85758321270732674</v>
      </c>
      <c r="AJ27" s="165">
        <f t="shared" si="18"/>
        <v>10.784403876283411</v>
      </c>
      <c r="AM27" s="231"/>
      <c r="AN27" s="155"/>
      <c r="AO27" s="155"/>
      <c r="AP27" s="155"/>
    </row>
    <row r="28" spans="1:42" x14ac:dyDescent="0.3">
      <c r="A28" s="157" t="s">
        <v>48</v>
      </c>
      <c r="B28" s="152" t="s">
        <v>510</v>
      </c>
      <c r="C28" s="157" t="s">
        <v>185</v>
      </c>
      <c r="D28" s="159">
        <v>348.9</v>
      </c>
      <c r="E28" s="152"/>
      <c r="F28" s="160">
        <v>150.77016640963063</v>
      </c>
      <c r="G28" s="160">
        <f t="shared" si="0"/>
        <v>139.13138272998361</v>
      </c>
      <c r="H28" s="160">
        <f t="shared" si="1"/>
        <v>209.76861727001636</v>
      </c>
      <c r="I28" s="152">
        <v>150</v>
      </c>
      <c r="J28" s="161">
        <f t="shared" si="2"/>
        <v>359.76861727001636</v>
      </c>
      <c r="K28" s="152">
        <v>99</v>
      </c>
      <c r="L28" s="160">
        <f t="shared" si="3"/>
        <v>41.39708088734605</v>
      </c>
      <c r="M28" s="162">
        <v>3.0476513098464317</v>
      </c>
      <c r="N28" s="152">
        <v>98.999999999999972</v>
      </c>
      <c r="O28" s="163">
        <f t="shared" si="4"/>
        <v>0.30171747967479667</v>
      </c>
      <c r="P28" s="160">
        <f t="shared" si="5"/>
        <v>2.1685796098235341</v>
      </c>
      <c r="Q28" s="152">
        <v>48.10000000000003</v>
      </c>
      <c r="R28" s="170">
        <v>8.4823559999999993</v>
      </c>
      <c r="S28" s="165">
        <f t="shared" si="6"/>
        <v>17.458487401247382</v>
      </c>
      <c r="T28" s="171">
        <v>0.210126858578149</v>
      </c>
      <c r="U28" s="165">
        <f t="shared" si="7"/>
        <v>3.3726242224814684E-3</v>
      </c>
      <c r="V28" s="165">
        <f t="shared" si="8"/>
        <v>4.5590746663106644E-3</v>
      </c>
      <c r="W28" s="165">
        <f t="shared" si="9"/>
        <v>0.68219554273551708</v>
      </c>
      <c r="X28" s="160">
        <v>115.34465203516901</v>
      </c>
      <c r="Y28" s="160">
        <f t="shared" si="10"/>
        <v>53.189032817916726</v>
      </c>
      <c r="Z28" s="160">
        <f t="shared" si="11"/>
        <v>242.49277204573067</v>
      </c>
      <c r="AA28" s="166">
        <v>48.033333333267365</v>
      </c>
      <c r="AB28" s="167">
        <v>1480.6560461219667</v>
      </c>
      <c r="AC28" s="165">
        <f t="shared" si="12"/>
        <v>36.285321110795934</v>
      </c>
      <c r="AD28" s="168">
        <f t="shared" si="13"/>
        <v>2.3920055115240483E-2</v>
      </c>
      <c r="AE28" s="167">
        <f t="shared" si="14"/>
        <v>7.5499617129503125E-3</v>
      </c>
      <c r="AF28" s="168">
        <f t="shared" si="19"/>
        <v>132.45100280240072</v>
      </c>
      <c r="AG28" s="165">
        <f t="shared" si="15"/>
        <v>1516.9413672327626</v>
      </c>
      <c r="AH28" s="165">
        <f t="shared" si="16"/>
        <v>12.836798412383343</v>
      </c>
      <c r="AI28" s="165">
        <f t="shared" si="17"/>
        <v>0.31458173803959638</v>
      </c>
      <c r="AJ28" s="165">
        <f t="shared" si="18"/>
        <v>13.15138015042294</v>
      </c>
      <c r="AM28" s="231"/>
      <c r="AN28" s="155"/>
      <c r="AO28" s="155"/>
      <c r="AP28" s="155"/>
    </row>
    <row r="29" spans="1:42" x14ac:dyDescent="0.3">
      <c r="A29" s="157" t="s">
        <v>49</v>
      </c>
      <c r="B29" s="152" t="s">
        <v>510</v>
      </c>
      <c r="C29" s="157" t="s">
        <v>185</v>
      </c>
      <c r="D29" s="159">
        <v>354.5</v>
      </c>
      <c r="E29" s="152"/>
      <c r="F29" s="160">
        <v>151.53219321909572</v>
      </c>
      <c r="G29" s="160">
        <f t="shared" si="0"/>
        <v>140.93623383278606</v>
      </c>
      <c r="H29" s="160">
        <f t="shared" si="1"/>
        <v>213.56376616721394</v>
      </c>
      <c r="I29" s="152">
        <v>150</v>
      </c>
      <c r="J29" s="161">
        <f t="shared" si="2"/>
        <v>363.56376616721394</v>
      </c>
      <c r="K29" s="152">
        <v>99</v>
      </c>
      <c r="L29" s="160">
        <f t="shared" si="3"/>
        <v>40.966532509115467</v>
      </c>
      <c r="M29" s="162">
        <v>3.9826106594399278</v>
      </c>
      <c r="N29" s="152">
        <v>96.999999999999972</v>
      </c>
      <c r="O29" s="163">
        <f t="shared" si="4"/>
        <v>0.38631323396567291</v>
      </c>
      <c r="P29" s="160">
        <f t="shared" si="5"/>
        <v>2.741049788686809</v>
      </c>
      <c r="Q29" s="152">
        <v>47.799999999999955</v>
      </c>
      <c r="R29" s="170">
        <v>6.7081639999999991</v>
      </c>
      <c r="S29" s="165">
        <f t="shared" si="6"/>
        <v>13.612801422594149</v>
      </c>
      <c r="T29" s="171">
        <v>0.20917306692656756</v>
      </c>
      <c r="U29" s="165">
        <f t="shared" si="7"/>
        <v>3.3944996427519025E-3</v>
      </c>
      <c r="V29" s="165">
        <f t="shared" si="8"/>
        <v>3.615479678537523E-3</v>
      </c>
      <c r="W29" s="165">
        <f t="shared" si="9"/>
        <v>0.53407289430306493</v>
      </c>
      <c r="X29" s="160">
        <v>50</v>
      </c>
      <c r="Y29" s="160">
        <f t="shared" si="10"/>
        <v>18.241186353624812</v>
      </c>
      <c r="Z29" s="160">
        <f t="shared" si="11"/>
        <v>65.950638573946492</v>
      </c>
      <c r="AA29" s="166">
        <v>48.033333333267365</v>
      </c>
      <c r="AB29" s="167">
        <v>1442.785006219068</v>
      </c>
      <c r="AC29" s="165">
        <f t="shared" si="12"/>
        <v>9.7421231914019746</v>
      </c>
      <c r="AD29" s="168">
        <f t="shared" si="13"/>
        <v>6.7070163401050983E-3</v>
      </c>
      <c r="AE29" s="167">
        <f t="shared" si="14"/>
        <v>4.676219131872948E-3</v>
      </c>
      <c r="AF29" s="168">
        <f t="shared" si="19"/>
        <v>213.84797670922532</v>
      </c>
      <c r="AG29" s="165">
        <f t="shared" si="15"/>
        <v>1452.52712941047</v>
      </c>
      <c r="AH29" s="165">
        <f t="shared" si="16"/>
        <v>28.855700124381361</v>
      </c>
      <c r="AI29" s="165">
        <f t="shared" si="17"/>
        <v>0.19484246382803949</v>
      </c>
      <c r="AJ29" s="165">
        <f t="shared" si="18"/>
        <v>29.050542588209399</v>
      </c>
    </row>
    <row r="30" spans="1:42" x14ac:dyDescent="0.3">
      <c r="A30" s="157" t="s">
        <v>53</v>
      </c>
      <c r="B30" s="152" t="s">
        <v>510</v>
      </c>
      <c r="C30" s="157" t="s">
        <v>185</v>
      </c>
      <c r="D30" s="159">
        <v>349.2</v>
      </c>
      <c r="E30" s="152"/>
      <c r="F30" s="160">
        <v>154.68099615830533</v>
      </c>
      <c r="G30" s="160">
        <f t="shared" si="0"/>
        <v>137.11270384027526</v>
      </c>
      <c r="H30" s="160">
        <f t="shared" si="1"/>
        <v>212.08729615972473</v>
      </c>
      <c r="I30" s="152">
        <v>150</v>
      </c>
      <c r="J30" s="161">
        <f t="shared" si="2"/>
        <v>362.0872961597247</v>
      </c>
      <c r="K30" s="152">
        <v>99</v>
      </c>
      <c r="L30" s="160">
        <f t="shared" si="3"/>
        <v>41.132907090129457</v>
      </c>
      <c r="M30" s="162">
        <v>3.0476513098464317</v>
      </c>
      <c r="N30" s="152">
        <v>98.29999999999994</v>
      </c>
      <c r="O30" s="163">
        <f t="shared" si="4"/>
        <v>0.29958412375790411</v>
      </c>
      <c r="P30" s="160">
        <f t="shared" si="5"/>
        <v>2.1849479688395199</v>
      </c>
      <c r="Q30" s="152">
        <v>47.700000000000074</v>
      </c>
      <c r="R30" s="170">
        <v>4.4650039999999995</v>
      </c>
      <c r="S30" s="165">
        <f t="shared" si="6"/>
        <v>9.2014652662473591</v>
      </c>
      <c r="T30" s="171">
        <v>0.21142728423875962</v>
      </c>
      <c r="U30" s="165">
        <f t="shared" si="7"/>
        <v>5.3653830995609997E-3</v>
      </c>
      <c r="V30" s="165">
        <f t="shared" si="8"/>
        <v>3.8471593713703981E-3</v>
      </c>
      <c r="W30" s="165">
        <f t="shared" si="9"/>
        <v>0.58414377966434528</v>
      </c>
      <c r="X30" s="160">
        <v>79.011778788223481</v>
      </c>
      <c r="Y30" s="160">
        <f t="shared" si="10"/>
        <v>36.161858275365979</v>
      </c>
      <c r="Z30" s="160">
        <f t="shared" si="11"/>
        <v>139.12043195024239</v>
      </c>
      <c r="AA30" s="166">
        <v>48.033333333267365</v>
      </c>
      <c r="AB30" s="167">
        <v>1507.0353537100443</v>
      </c>
      <c r="AC30" s="165">
        <f t="shared" si="12"/>
        <v>21.123724572658663</v>
      </c>
      <c r="AD30" s="168">
        <f t="shared" si="13"/>
        <v>1.3822987981327729E-2</v>
      </c>
      <c r="AE30" s="167">
        <f t="shared" si="14"/>
        <v>6.4163773746019068E-3</v>
      </c>
      <c r="AF30" s="168">
        <f t="shared" si="19"/>
        <v>155.85118231329767</v>
      </c>
      <c r="AG30" s="165">
        <f t="shared" si="15"/>
        <v>1528.1590782827029</v>
      </c>
      <c r="AH30" s="165">
        <f t="shared" si="16"/>
        <v>19.073553042633996</v>
      </c>
      <c r="AI30" s="165">
        <f t="shared" si="17"/>
        <v>0.2673490572750794</v>
      </c>
      <c r="AJ30" s="165">
        <f t="shared" si="18"/>
        <v>19.340902099909076</v>
      </c>
    </row>
    <row r="31" spans="1:42" x14ac:dyDescent="0.3">
      <c r="A31" s="157" t="s">
        <v>54</v>
      </c>
      <c r="B31" s="152" t="s">
        <v>510</v>
      </c>
      <c r="C31" s="157" t="s">
        <v>185</v>
      </c>
      <c r="D31" s="159">
        <v>357.9</v>
      </c>
      <c r="E31" s="152"/>
      <c r="F31" s="160">
        <v>154.81571834188347</v>
      </c>
      <c r="G31" s="160">
        <f t="shared" si="0"/>
        <v>140.45444383450845</v>
      </c>
      <c r="H31" s="160">
        <f t="shared" si="1"/>
        <v>217.44555616549152</v>
      </c>
      <c r="I31" s="152">
        <v>150</v>
      </c>
      <c r="J31" s="161">
        <f t="shared" si="2"/>
        <v>367.44555616549155</v>
      </c>
      <c r="K31" s="152">
        <v>99</v>
      </c>
      <c r="L31" s="160">
        <f t="shared" si="3"/>
        <v>40.535607093777216</v>
      </c>
      <c r="M31" s="162">
        <v>2.8387533875338753</v>
      </c>
      <c r="N31" s="152">
        <v>99.599999999999909</v>
      </c>
      <c r="O31" s="163">
        <f t="shared" si="4"/>
        <v>0.28273983739837372</v>
      </c>
      <c r="P31" s="160">
        <f t="shared" si="5"/>
        <v>2.0130358974723088</v>
      </c>
      <c r="Q31" s="152">
        <v>47.900000000000055</v>
      </c>
      <c r="R31" s="170">
        <v>5.3977319999999995</v>
      </c>
      <c r="S31" s="165">
        <f t="shared" si="6"/>
        <v>11.223676559498932</v>
      </c>
      <c r="T31" s="171">
        <v>0.21540374695949074</v>
      </c>
      <c r="U31" s="165">
        <f t="shared" si="7"/>
        <v>1.0162978346828277E-2</v>
      </c>
      <c r="V31" s="165">
        <f t="shared" si="8"/>
        <v>9.0196838556058558E-3</v>
      </c>
      <c r="W31" s="165">
        <f t="shared" si="9"/>
        <v>1.3369436569242696</v>
      </c>
      <c r="X31" s="160">
        <v>164.30664004197769</v>
      </c>
      <c r="Y31" s="160">
        <f t="shared" si="10"/>
        <v>81.62131646449582</v>
      </c>
      <c r="Z31" s="160">
        <f t="shared" si="11"/>
        <v>736.1984703881094</v>
      </c>
      <c r="AA31" s="166">
        <v>48.033333333267365</v>
      </c>
      <c r="AB31" s="167">
        <v>1934.2933828390373</v>
      </c>
      <c r="AC31" s="165">
        <f t="shared" si="12"/>
        <v>109.12310131701615</v>
      </c>
      <c r="AD31" s="168">
        <f t="shared" si="13"/>
        <v>5.3402281014721685E-2</v>
      </c>
      <c r="AE31" s="167">
        <f t="shared" si="14"/>
        <v>1.5939431485783456E-2</v>
      </c>
      <c r="AF31" s="168">
        <f t="shared" si="19"/>
        <v>62.737494802867367</v>
      </c>
      <c r="AG31" s="165">
        <f t="shared" si="15"/>
        <v>2043.4164841560535</v>
      </c>
      <c r="AH31" s="165">
        <f t="shared" si="16"/>
        <v>11.772460214297222</v>
      </c>
      <c r="AI31" s="165">
        <f t="shared" si="17"/>
        <v>0.66414297857431059</v>
      </c>
      <c r="AJ31" s="165">
        <f t="shared" si="18"/>
        <v>12.436603192871534</v>
      </c>
    </row>
    <row r="32" spans="1:42" x14ac:dyDescent="0.3">
      <c r="A32" s="157" t="s">
        <v>58</v>
      </c>
      <c r="B32" s="152" t="s">
        <v>510</v>
      </c>
      <c r="C32" s="157" t="s">
        <v>185</v>
      </c>
      <c r="D32" s="159">
        <v>354.4</v>
      </c>
      <c r="E32" s="152"/>
      <c r="F32" s="160">
        <v>154.51948365467854</v>
      </c>
      <c r="G32" s="160">
        <f t="shared" si="0"/>
        <v>139.24277816029016</v>
      </c>
      <c r="H32" s="160">
        <f t="shared" si="1"/>
        <v>215.15722183970982</v>
      </c>
      <c r="I32" s="152">
        <v>150</v>
      </c>
      <c r="J32" s="161">
        <f t="shared" si="2"/>
        <v>365.15722183970979</v>
      </c>
      <c r="K32" s="152">
        <v>99</v>
      </c>
      <c r="L32" s="160">
        <f t="shared" si="3"/>
        <v>40.78841249958689</v>
      </c>
      <c r="M32" s="162">
        <v>2.8410117434507676</v>
      </c>
      <c r="N32" s="152">
        <v>98.400000000000048</v>
      </c>
      <c r="O32" s="163">
        <f t="shared" si="4"/>
        <v>0.27955555555555567</v>
      </c>
      <c r="P32" s="160">
        <f t="shared" si="5"/>
        <v>2.0076844145823034</v>
      </c>
      <c r="Q32" s="152">
        <v>47.900000000000055</v>
      </c>
      <c r="R32" s="170">
        <v>4.0615079999999999</v>
      </c>
      <c r="S32" s="165">
        <f t="shared" si="6"/>
        <v>8.3434736367432087</v>
      </c>
      <c r="T32" s="171">
        <v>0.21526812958704847</v>
      </c>
      <c r="U32" s="165">
        <f t="shared" si="7"/>
        <v>9.9141506527119505E-3</v>
      </c>
      <c r="V32" s="165">
        <f t="shared" si="8"/>
        <v>6.500360813022743E-3</v>
      </c>
      <c r="W32" s="165">
        <f t="shared" si="9"/>
        <v>0.97190106434461687</v>
      </c>
      <c r="X32" s="160">
        <v>386.45286584258707</v>
      </c>
      <c r="Y32" s="160">
        <f t="shared" si="10"/>
        <v>192.48685851007525</v>
      </c>
      <c r="Z32" s="160">
        <f t="shared" si="11"/>
        <v>1251.2340320807464</v>
      </c>
      <c r="AA32" s="166">
        <v>48.033333333267365</v>
      </c>
      <c r="AB32" s="167">
        <v>1191.8535096012386</v>
      </c>
      <c r="AC32" s="165">
        <f t="shared" si="12"/>
        <v>187.0781826582938</v>
      </c>
      <c r="AD32" s="168">
        <f t="shared" si="13"/>
        <v>0.13566892668319594</v>
      </c>
      <c r="AE32" s="167">
        <f t="shared" si="14"/>
        <v>1.161817334181163E-2</v>
      </c>
      <c r="AF32" s="168">
        <f t="shared" si="19"/>
        <v>86.072050276714947</v>
      </c>
      <c r="AG32" s="165">
        <f t="shared" si="15"/>
        <v>1378.9316922595324</v>
      </c>
      <c r="AH32" s="165">
        <f t="shared" si="16"/>
        <v>3.0840850591252011</v>
      </c>
      <c r="AI32" s="165">
        <f t="shared" si="17"/>
        <v>0.48409055590881789</v>
      </c>
      <c r="AJ32" s="165">
        <f t="shared" si="18"/>
        <v>3.5681756150340189</v>
      </c>
    </row>
    <row r="33" spans="1:40" x14ac:dyDescent="0.3">
      <c r="A33" s="157" t="s">
        <v>59</v>
      </c>
      <c r="B33" s="152" t="s">
        <v>510</v>
      </c>
      <c r="C33" s="157" t="s">
        <v>185</v>
      </c>
      <c r="D33" s="159">
        <v>351.9</v>
      </c>
      <c r="E33" s="152"/>
      <c r="F33" s="160">
        <v>155.3457525759726</v>
      </c>
      <c r="G33" s="160">
        <f t="shared" si="0"/>
        <v>137.81314020302716</v>
      </c>
      <c r="H33" s="160">
        <f t="shared" si="1"/>
        <v>214.08685979697282</v>
      </c>
      <c r="I33" s="152">
        <v>150</v>
      </c>
      <c r="J33" s="161">
        <f t="shared" si="2"/>
        <v>364.08685979697282</v>
      </c>
      <c r="K33" s="152">
        <v>99</v>
      </c>
      <c r="L33" s="160">
        <f t="shared" si="3"/>
        <v>40.912385939722334</v>
      </c>
      <c r="M33" s="162">
        <v>2.5773486901535683</v>
      </c>
      <c r="N33" s="152">
        <v>98.499999999999915</v>
      </c>
      <c r="O33" s="163">
        <f t="shared" si="4"/>
        <v>0.25386884598012627</v>
      </c>
      <c r="P33" s="160">
        <f t="shared" si="5"/>
        <v>1.8421236582094069</v>
      </c>
      <c r="Q33" s="152">
        <v>48.500000000000099</v>
      </c>
      <c r="R33" s="164">
        <v>7.6095565000000009</v>
      </c>
      <c r="S33" s="165">
        <f t="shared" si="6"/>
        <v>15.45446010824738</v>
      </c>
      <c r="T33" s="165">
        <v>0.21529265012140292</v>
      </c>
      <c r="U33" s="165">
        <f t="shared" si="7"/>
        <v>2.0048115374310671E-3</v>
      </c>
      <c r="V33" s="165">
        <f t="shared" si="8"/>
        <v>2.4274172703646285E-3</v>
      </c>
      <c r="W33" s="165">
        <f t="shared" si="9"/>
        <v>0.36670014590252736</v>
      </c>
      <c r="X33" s="160">
        <v>50</v>
      </c>
      <c r="Y33" s="160">
        <f t="shared" si="10"/>
        <v>27.142586100110851</v>
      </c>
      <c r="Z33" s="160">
        <f t="shared" si="11"/>
        <v>65.886382261767992</v>
      </c>
      <c r="AA33" s="166">
        <v>48.033333333267365</v>
      </c>
      <c r="AB33" s="167">
        <v>1227.1042061378946</v>
      </c>
      <c r="AC33" s="165">
        <f t="shared" si="12"/>
        <v>9.9531902830825594</v>
      </c>
      <c r="AD33" s="168">
        <f t="shared" si="13"/>
        <v>8.0458597247620653E-3</v>
      </c>
      <c r="AE33" s="167">
        <f t="shared" si="14"/>
        <v>4.7775313358796286E-3</v>
      </c>
      <c r="AF33" s="168">
        <f t="shared" si="19"/>
        <v>209.31312213274728</v>
      </c>
      <c r="AG33" s="165">
        <f t="shared" si="15"/>
        <v>1237.0573964209771</v>
      </c>
      <c r="AH33" s="165">
        <f t="shared" si="16"/>
        <v>24.542084122757892</v>
      </c>
      <c r="AI33" s="165">
        <f t="shared" si="17"/>
        <v>0.19906380566165119</v>
      </c>
      <c r="AJ33" s="165">
        <f t="shared" si="18"/>
        <v>24.74114792841954</v>
      </c>
    </row>
    <row r="34" spans="1:40" x14ac:dyDescent="0.3">
      <c r="A34" s="157" t="s">
        <v>63</v>
      </c>
      <c r="B34" s="152" t="s">
        <v>510</v>
      </c>
      <c r="C34" s="157" t="s">
        <v>185</v>
      </c>
      <c r="D34" s="159">
        <v>349.1</v>
      </c>
      <c r="E34" s="152"/>
      <c r="F34" s="160">
        <v>150.85284851203605</v>
      </c>
      <c r="G34" s="160">
        <f t="shared" si="0"/>
        <v>139.16525248596093</v>
      </c>
      <c r="H34" s="160">
        <f t="shared" si="1"/>
        <v>209.93474751403909</v>
      </c>
      <c r="I34" s="152">
        <v>150</v>
      </c>
      <c r="J34" s="161">
        <f t="shared" si="2"/>
        <v>359.93474751403909</v>
      </c>
      <c r="K34" s="152">
        <v>99</v>
      </c>
      <c r="L34" s="160">
        <f t="shared" si="3"/>
        <v>41.379832571504984</v>
      </c>
      <c r="M34" s="162">
        <v>2.6405826558265582</v>
      </c>
      <c r="N34" s="152">
        <v>98.799999999999883</v>
      </c>
      <c r="O34" s="163">
        <f t="shared" si="4"/>
        <v>0.26088956639566363</v>
      </c>
      <c r="P34" s="160">
        <f t="shared" si="5"/>
        <v>1.8746746169413397</v>
      </c>
      <c r="Q34" s="152">
        <v>48.4</v>
      </c>
      <c r="R34" s="164">
        <v>6.2108865000000009</v>
      </c>
      <c r="S34" s="165">
        <f t="shared" si="6"/>
        <v>12.678421202479326</v>
      </c>
      <c r="T34" s="165">
        <v>0.22221302349345934</v>
      </c>
      <c r="U34" s="165">
        <f t="shared" si="7"/>
        <v>1.2435512531806164E-2</v>
      </c>
      <c r="V34" s="165">
        <f t="shared" si="8"/>
        <v>1.2212708476428713E-2</v>
      </c>
      <c r="W34" s="165">
        <f t="shared" si="9"/>
        <v>1.8269996006565337</v>
      </c>
      <c r="X34" s="160">
        <v>101.08372586837166</v>
      </c>
      <c r="Y34" s="160">
        <f t="shared" si="10"/>
        <v>53.920677729822089</v>
      </c>
      <c r="Z34" s="160">
        <f t="shared" si="11"/>
        <v>658.51751796577912</v>
      </c>
      <c r="AA34" s="166">
        <v>48.033333333267365</v>
      </c>
      <c r="AB34" s="167">
        <v>1294.8999566061068</v>
      </c>
      <c r="AC34" s="165">
        <f t="shared" si="12"/>
        <v>98.513056679514591</v>
      </c>
      <c r="AD34" s="168">
        <f t="shared" si="13"/>
        <v>7.0699107687550652E-2</v>
      </c>
      <c r="AE34" s="167">
        <f t="shared" si="14"/>
        <v>2.3389653873533436E-2</v>
      </c>
      <c r="AF34" s="168">
        <f t="shared" si="19"/>
        <v>42.7539460569594</v>
      </c>
      <c r="AG34" s="165">
        <f t="shared" si="15"/>
        <v>1393.4130132856214</v>
      </c>
      <c r="AH34" s="165">
        <f t="shared" si="16"/>
        <v>12.810172413829388</v>
      </c>
      <c r="AI34" s="165">
        <f t="shared" si="17"/>
        <v>0.97456891139722612</v>
      </c>
      <c r="AJ34" s="165">
        <f t="shared" si="18"/>
        <v>13.784741325226616</v>
      </c>
    </row>
    <row r="35" spans="1:40" x14ac:dyDescent="0.3">
      <c r="A35" s="157" t="s">
        <v>64</v>
      </c>
      <c r="B35" s="152" t="s">
        <v>510</v>
      </c>
      <c r="C35" s="157" t="s">
        <v>185</v>
      </c>
      <c r="D35" s="159">
        <v>354.5</v>
      </c>
      <c r="E35" s="152"/>
      <c r="F35" s="160">
        <v>151.89744591905318</v>
      </c>
      <c r="G35" s="160">
        <f t="shared" si="0"/>
        <v>140.73187550854246</v>
      </c>
      <c r="H35" s="160">
        <f t="shared" si="1"/>
        <v>213.76812449145754</v>
      </c>
      <c r="I35" s="152">
        <v>150</v>
      </c>
      <c r="J35" s="161">
        <f t="shared" si="2"/>
        <v>363.76812449145757</v>
      </c>
      <c r="K35" s="152">
        <v>99</v>
      </c>
      <c r="L35" s="160">
        <f t="shared" si="3"/>
        <v>40.944402879519842</v>
      </c>
      <c r="M35" s="162">
        <v>2.3526422764227641</v>
      </c>
      <c r="N35" s="152">
        <v>97.400000000000048</v>
      </c>
      <c r="O35" s="163">
        <f t="shared" si="4"/>
        <v>0.22914735772357733</v>
      </c>
      <c r="P35" s="160">
        <f t="shared" si="5"/>
        <v>1.6282548420216856</v>
      </c>
      <c r="Q35" s="152">
        <v>46.500000000000099</v>
      </c>
      <c r="R35" s="170">
        <v>5.0892199999999992</v>
      </c>
      <c r="S35" s="165">
        <f t="shared" si="6"/>
        <v>10.660000602150518</v>
      </c>
      <c r="T35" s="171">
        <v>0.21185576717397603</v>
      </c>
      <c r="U35" s="165">
        <f t="shared" si="7"/>
        <v>4.7685598979508859E-3</v>
      </c>
      <c r="V35" s="165">
        <f t="shared" si="8"/>
        <v>3.9794383755942762E-3</v>
      </c>
      <c r="W35" s="165">
        <f t="shared" si="9"/>
        <v>0.58868989643759806</v>
      </c>
      <c r="X35" s="160">
        <v>50</v>
      </c>
      <c r="Y35" s="160">
        <f t="shared" si="10"/>
        <v>30.707723821609299</v>
      </c>
      <c r="Z35" s="160">
        <f t="shared" si="11"/>
        <v>122.19949460286257</v>
      </c>
      <c r="AA35" s="166">
        <v>48.033333333267365</v>
      </c>
      <c r="AB35" s="167">
        <v>1239.7480767769382</v>
      </c>
      <c r="AC35" s="165">
        <f t="shared" si="12"/>
        <v>18.077326756377545</v>
      </c>
      <c r="AD35" s="168">
        <f t="shared" si="13"/>
        <v>1.4371888741948703E-2</v>
      </c>
      <c r="AE35" s="167">
        <f t="shared" si="14"/>
        <v>8.6771168430612201E-3</v>
      </c>
      <c r="AF35" s="168">
        <f t="shared" si="19"/>
        <v>115.24565337617463</v>
      </c>
      <c r="AG35" s="165">
        <f t="shared" si="15"/>
        <v>1257.8254035333157</v>
      </c>
      <c r="AH35" s="165">
        <f t="shared" si="16"/>
        <v>24.794961535538764</v>
      </c>
      <c r="AI35" s="165">
        <f t="shared" si="17"/>
        <v>0.36154653512755092</v>
      </c>
      <c r="AJ35" s="165">
        <f t="shared" si="18"/>
        <v>25.156508070666312</v>
      </c>
    </row>
    <row r="36" spans="1:40" x14ac:dyDescent="0.3">
      <c r="A36" s="157" t="s">
        <v>45</v>
      </c>
      <c r="B36" s="152" t="s">
        <v>510</v>
      </c>
      <c r="C36" s="157" t="s">
        <v>186</v>
      </c>
      <c r="D36" s="173">
        <v>245.27017643710874</v>
      </c>
      <c r="E36" s="152"/>
      <c r="F36" s="160">
        <v>253.92545366196998</v>
      </c>
      <c r="G36" s="160">
        <f t="shared" si="0"/>
        <v>69.299953959051322</v>
      </c>
      <c r="H36" s="160">
        <f t="shared" si="1"/>
        <v>175.97022247805742</v>
      </c>
      <c r="I36" s="174">
        <v>162</v>
      </c>
      <c r="J36" s="161">
        <f t="shared" si="2"/>
        <v>337.97022247805739</v>
      </c>
      <c r="K36" s="152">
        <v>99</v>
      </c>
      <c r="L36" s="160">
        <f>((I36*K36)+(H36*T92))/J36</f>
        <v>47.567540645098127</v>
      </c>
      <c r="M36" s="162">
        <v>17.695912375790424</v>
      </c>
      <c r="N36" s="152">
        <v>96.400000000000034</v>
      </c>
      <c r="O36" s="163">
        <f t="shared" si="4"/>
        <v>1.7058859530261976</v>
      </c>
      <c r="P36" s="160">
        <f t="shared" si="5"/>
        <v>24.615975272280689</v>
      </c>
      <c r="Q36" s="152">
        <v>47.800000000000068</v>
      </c>
      <c r="R36" s="164">
        <v>7.7079912000000004</v>
      </c>
      <c r="S36" s="165">
        <f t="shared" si="6"/>
        <v>15.544986436820068</v>
      </c>
      <c r="T36" s="165">
        <v>0.21608744950987266</v>
      </c>
      <c r="U36" s="165">
        <f t="shared" si="7"/>
        <v>-2.2011564651631954E-3</v>
      </c>
      <c r="V36" s="165">
        <f t="shared" si="8"/>
        <v>-2.305697976314532E-3</v>
      </c>
      <c r="W36" s="165">
        <f t="shared" si="9"/>
        <v>-0.51797525439483971</v>
      </c>
      <c r="X36" s="160">
        <v>1088.1751585130362</v>
      </c>
      <c r="Y36" s="160">
        <f t="shared" si="10"/>
        <v>44.206055071009011</v>
      </c>
      <c r="Z36" s="160">
        <f t="shared" si="11"/>
        <v>-101.92581171807423</v>
      </c>
      <c r="AA36" s="166">
        <v>64.233333333337214</v>
      </c>
      <c r="AB36" s="167">
        <v>193.60424559928501</v>
      </c>
      <c r="AC36" s="165"/>
      <c r="AD36" s="168"/>
      <c r="AE36" s="167"/>
      <c r="AF36" s="168"/>
      <c r="AG36" s="165">
        <f t="shared" si="15"/>
        <v>193.60424559928501</v>
      </c>
      <c r="AH36" s="165">
        <f t="shared" si="16"/>
        <v>0.17791643568103532</v>
      </c>
      <c r="AI36" s="165">
        <f t="shared" si="17"/>
        <v>0</v>
      </c>
      <c r="AJ36" s="165">
        <f t="shared" si="18"/>
        <v>0.17791643568103532</v>
      </c>
      <c r="AK36" s="155"/>
      <c r="AL36" s="155"/>
      <c r="AM36" s="155"/>
      <c r="AN36" s="155"/>
    </row>
    <row r="37" spans="1:40" x14ac:dyDescent="0.3">
      <c r="A37" s="157" t="s">
        <v>46</v>
      </c>
      <c r="B37" s="152" t="s">
        <v>510</v>
      </c>
      <c r="C37" s="157" t="s">
        <v>186</v>
      </c>
      <c r="D37" s="173">
        <v>301.06304347826085</v>
      </c>
      <c r="E37" s="152"/>
      <c r="F37" s="160">
        <v>150.03686904644775</v>
      </c>
      <c r="G37" s="160">
        <f t="shared" si="0"/>
        <v>120.4074601583394</v>
      </c>
      <c r="H37" s="160">
        <f t="shared" si="1"/>
        <v>180.65558331992145</v>
      </c>
      <c r="I37" s="174">
        <v>135</v>
      </c>
      <c r="J37" s="161">
        <f t="shared" si="2"/>
        <v>315.65558331992145</v>
      </c>
      <c r="K37" s="152">
        <v>99</v>
      </c>
      <c r="L37" s="160">
        <f t="shared" si="3"/>
        <v>42.457141292094867</v>
      </c>
      <c r="M37" s="162">
        <v>2.2735998193315266</v>
      </c>
      <c r="N37" s="152">
        <v>95.099999999999966</v>
      </c>
      <c r="O37" s="163">
        <f t="shared" si="4"/>
        <v>0.21621934281842808</v>
      </c>
      <c r="P37" s="160">
        <f t="shared" si="5"/>
        <v>1.7957304517020225</v>
      </c>
      <c r="Q37" s="152">
        <v>48.099999999999923</v>
      </c>
      <c r="R37" s="170">
        <v>29.20102</v>
      </c>
      <c r="S37" s="165">
        <f t="shared" si="6"/>
        <v>57.734241205821277</v>
      </c>
      <c r="T37" s="171">
        <v>0.22783619632172869</v>
      </c>
      <c r="U37" s="165">
        <f t="shared" si="7"/>
        <v>2.3947116473577362E-2</v>
      </c>
      <c r="V37" s="165">
        <f t="shared" si="8"/>
        <v>0.1043777171067454</v>
      </c>
      <c r="W37" s="165">
        <f t="shared" si="9"/>
        <v>13.495654096225564</v>
      </c>
      <c r="X37" s="160">
        <v>50</v>
      </c>
      <c r="Y37" s="160">
        <f t="shared" si="10"/>
        <v>27.843822525039428</v>
      </c>
      <c r="Z37" s="160">
        <f>(V37*Y37)*1000</f>
        <v>2906.2746306889908</v>
      </c>
      <c r="AA37" s="166">
        <v>64.233333333337214</v>
      </c>
      <c r="AB37" s="167">
        <v>68.851249576657523</v>
      </c>
      <c r="AC37" s="165">
        <f t="shared" si="12"/>
        <v>375.77059751462605</v>
      </c>
      <c r="AD37" s="168">
        <f>AC37/(AB37+AC37)</f>
        <v>0.84514649914959761</v>
      </c>
      <c r="AE37" s="167">
        <f t="shared" si="14"/>
        <v>0.18036988680702049</v>
      </c>
      <c r="AF37" s="168">
        <f t="shared" si="19"/>
        <v>5.5441627075472404</v>
      </c>
      <c r="AG37" s="165">
        <f t="shared" si="15"/>
        <v>444.6218470912836</v>
      </c>
      <c r="AH37" s="165">
        <f t="shared" si="16"/>
        <v>1.3770249915331505</v>
      </c>
      <c r="AI37" s="165">
        <f t="shared" si="17"/>
        <v>7.5154119502925205</v>
      </c>
      <c r="AJ37" s="165">
        <f t="shared" si="18"/>
        <v>8.8924369418256717</v>
      </c>
      <c r="AK37" s="155"/>
      <c r="AL37" s="155"/>
      <c r="AM37" s="155"/>
      <c r="AN37" s="155"/>
    </row>
    <row r="38" spans="1:40" x14ac:dyDescent="0.3">
      <c r="A38" s="157" t="s">
        <v>47</v>
      </c>
      <c r="B38" s="152" t="s">
        <v>510</v>
      </c>
      <c r="C38" s="157" t="s">
        <v>186</v>
      </c>
      <c r="D38" s="173">
        <v>265.44790350373347</v>
      </c>
      <c r="E38" s="152"/>
      <c r="F38" s="160">
        <v>152.25885528816855</v>
      </c>
      <c r="G38" s="160">
        <f t="shared" si="0"/>
        <v>105.22837868288049</v>
      </c>
      <c r="H38" s="160">
        <f t="shared" si="1"/>
        <v>160.219524820853</v>
      </c>
      <c r="I38" s="174">
        <v>162</v>
      </c>
      <c r="J38" s="161">
        <f t="shared" si="2"/>
        <v>322.219524820853</v>
      </c>
      <c r="K38" s="152">
        <v>99</v>
      </c>
      <c r="L38" s="160">
        <f t="shared" si="3"/>
        <v>49.874862506105856</v>
      </c>
      <c r="M38" s="162">
        <v>6.200880758807588</v>
      </c>
      <c r="N38" s="152">
        <v>94.8</v>
      </c>
      <c r="O38" s="163">
        <f t="shared" si="4"/>
        <v>0.58784349593495933</v>
      </c>
      <c r="P38" s="160">
        <f t="shared" si="5"/>
        <v>5.5863589584184581</v>
      </c>
      <c r="Q38" s="152">
        <v>47.700000000000074</v>
      </c>
      <c r="R38" s="170">
        <v>15.703124000000001</v>
      </c>
      <c r="S38" s="165">
        <f t="shared" si="6"/>
        <v>31.208724427672909</v>
      </c>
      <c r="T38" s="171">
        <v>0.21486002914459762</v>
      </c>
      <c r="U38" s="165">
        <f t="shared" si="7"/>
        <v>1.1049056297694676E-2</v>
      </c>
      <c r="V38" s="165">
        <f t="shared" si="8"/>
        <v>2.2161101741905349E-2</v>
      </c>
      <c r="W38" s="165">
        <f t="shared" si="9"/>
        <v>3.2786722781559265</v>
      </c>
      <c r="X38" s="160">
        <v>994.83215003411578</v>
      </c>
      <c r="Y38" s="160">
        <f t="shared" si="10"/>
        <v>178.08238916243229</v>
      </c>
      <c r="Z38" s="160">
        <f t="shared" si="11"/>
        <v>3946.5019446702445</v>
      </c>
      <c r="AA38" s="166">
        <v>64.233333333337214</v>
      </c>
      <c r="AB38" s="167">
        <v>83.359469888176406</v>
      </c>
      <c r="AC38" s="165">
        <f>Z38/(G38/1000)/AA38</f>
        <v>583.87379257464215</v>
      </c>
      <c r="AD38" s="168">
        <f t="shared" si="13"/>
        <v>0.87506697495791952</v>
      </c>
      <c r="AE38" s="167">
        <f t="shared" si="14"/>
        <v>1.4085764137508892E-2</v>
      </c>
      <c r="AF38" s="168">
        <f t="shared" si="19"/>
        <v>70.993663548369824</v>
      </c>
      <c r="AG38" s="165">
        <f t="shared" si="15"/>
        <v>667.23326246281852</v>
      </c>
      <c r="AH38" s="165">
        <f t="shared" si="16"/>
        <v>8.3792496940632413E-2</v>
      </c>
      <c r="AI38" s="165">
        <f t="shared" si="17"/>
        <v>0.58690683906287044</v>
      </c>
      <c r="AJ38" s="165">
        <f t="shared" si="18"/>
        <v>0.67069933600350273</v>
      </c>
      <c r="AK38" s="155"/>
      <c r="AL38" s="155"/>
      <c r="AM38" s="155"/>
      <c r="AN38" s="155"/>
    </row>
    <row r="39" spans="1:40" x14ac:dyDescent="0.3">
      <c r="A39" s="157" t="s">
        <v>48</v>
      </c>
      <c r="B39" s="152" t="s">
        <v>510</v>
      </c>
      <c r="C39" s="157" t="s">
        <v>186</v>
      </c>
      <c r="D39" s="173">
        <v>256.26184738955828</v>
      </c>
      <c r="E39" s="152"/>
      <c r="F39" s="160">
        <v>150.9345406851557</v>
      </c>
      <c r="G39" s="160">
        <f t="shared" si="0"/>
        <v>102.12298661230805</v>
      </c>
      <c r="H39" s="160">
        <f t="shared" si="1"/>
        <v>154.13886077725022</v>
      </c>
      <c r="I39" s="174">
        <v>134</v>
      </c>
      <c r="J39" s="161">
        <f t="shared" si="2"/>
        <v>288.13886077725022</v>
      </c>
      <c r="K39" s="152">
        <v>99</v>
      </c>
      <c r="L39" s="160">
        <f t="shared" si="3"/>
        <v>46.149943444087796</v>
      </c>
      <c r="M39" s="162">
        <v>8.8939701897018963</v>
      </c>
      <c r="N39" s="152">
        <v>96.000000000000085</v>
      </c>
      <c r="O39" s="163">
        <f t="shared" si="4"/>
        <v>0.85382113821138284</v>
      </c>
      <c r="P39" s="160">
        <f>O39/(G39/1000)</f>
        <v>8.3607145319081244</v>
      </c>
      <c r="Q39" s="152">
        <v>47.799999999999841</v>
      </c>
      <c r="R39" s="170">
        <v>12.997691999999999</v>
      </c>
      <c r="S39" s="165">
        <f t="shared" si="6"/>
        <v>26.104151297071237</v>
      </c>
      <c r="T39" s="171">
        <v>0.2132543862989254</v>
      </c>
      <c r="U39" s="165">
        <f t="shared" si="7"/>
        <v>8.2955021169613119E-3</v>
      </c>
      <c r="V39" s="165">
        <f t="shared" si="8"/>
        <v>1.5040176660532832E-2</v>
      </c>
      <c r="W39" s="165">
        <f t="shared" si="9"/>
        <v>2.292814767022231</v>
      </c>
      <c r="X39" s="160">
        <v>50</v>
      </c>
      <c r="Y39" s="160">
        <f>X39/P39</f>
        <v>5.9803501015586935</v>
      </c>
      <c r="Z39" s="160">
        <f>(V39*Y39)*1000</f>
        <v>89.945522019278215</v>
      </c>
      <c r="AA39" s="166">
        <v>64.233333333337214</v>
      </c>
      <c r="AB39" s="167">
        <v>163.92309210281076</v>
      </c>
      <c r="AC39" s="165">
        <f>Z39/(G39/1000)/AA39</f>
        <v>13.71183502481667</v>
      </c>
      <c r="AD39" s="168">
        <f t="shared" si="13"/>
        <v>7.7191097756157873E-2</v>
      </c>
      <c r="AE39" s="167">
        <f t="shared" si="14"/>
        <v>6.5816808119120024E-3</v>
      </c>
      <c r="AF39" s="168">
        <f t="shared" si="19"/>
        <v>151.93687274991026</v>
      </c>
      <c r="AG39" s="165">
        <f t="shared" si="15"/>
        <v>177.63492712762744</v>
      </c>
      <c r="AH39" s="165">
        <f t="shared" si="16"/>
        <v>3.278461842056215</v>
      </c>
      <c r="AI39" s="165">
        <f t="shared" si="17"/>
        <v>0.27423670049633342</v>
      </c>
      <c r="AJ39" s="165">
        <f t="shared" si="18"/>
        <v>3.5526985425525486</v>
      </c>
      <c r="AK39" s="155"/>
      <c r="AL39" s="155"/>
      <c r="AM39" s="155"/>
      <c r="AN39" s="155"/>
    </row>
    <row r="40" spans="1:40" x14ac:dyDescent="0.3">
      <c r="A40" s="157" t="s">
        <v>49</v>
      </c>
      <c r="B40" s="152" t="s">
        <v>510</v>
      </c>
      <c r="C40" s="157" t="s">
        <v>186</v>
      </c>
      <c r="D40" s="173">
        <v>309.57256601491633</v>
      </c>
      <c r="E40" s="152"/>
      <c r="F40" s="160">
        <v>151.7298724153101</v>
      </c>
      <c r="G40" s="160">
        <f t="shared" si="0"/>
        <v>122.97808084698661</v>
      </c>
      <c r="H40" s="160">
        <f t="shared" si="1"/>
        <v>186.59448516792972</v>
      </c>
      <c r="I40" s="174">
        <v>130</v>
      </c>
      <c r="J40" s="161">
        <f t="shared" si="2"/>
        <v>316.59448516792975</v>
      </c>
      <c r="K40" s="152">
        <v>99</v>
      </c>
      <c r="L40" s="160">
        <f t="shared" si="3"/>
        <v>40.771955587560917</v>
      </c>
      <c r="M40" s="162">
        <v>9.1102077687443543</v>
      </c>
      <c r="N40" s="152">
        <v>94.499999999999915</v>
      </c>
      <c r="O40" s="163">
        <f t="shared" si="4"/>
        <v>0.86091463414634073</v>
      </c>
      <c r="P40" s="160">
        <f t="shared" ref="P40:P103" si="20">O40/(G40/1000)</f>
        <v>7.0005534987777143</v>
      </c>
      <c r="Q40" s="152">
        <v>46.800000000000061</v>
      </c>
      <c r="R40" s="170">
        <v>7.7366200000000003</v>
      </c>
      <c r="S40" s="165">
        <f t="shared" si="6"/>
        <v>15.622021153846118</v>
      </c>
      <c r="T40" s="171">
        <v>0.2102491968239224</v>
      </c>
      <c r="U40" s="165">
        <f t="shared" si="7"/>
        <v>5.654251270266919E-3</v>
      </c>
      <c r="V40" s="165">
        <f t="shared" si="8"/>
        <v>6.9442066691193178E-3</v>
      </c>
      <c r="W40" s="165">
        <f t="shared" si="9"/>
        <v>0.87909228024531694</v>
      </c>
      <c r="X40" s="160">
        <v>103.33273386434921</v>
      </c>
      <c r="Y40" s="160">
        <f t="shared" si="10"/>
        <v>14.760651980217128</v>
      </c>
      <c r="Z40" s="160">
        <f t="shared" si="11"/>
        <v>102.50101792157304</v>
      </c>
      <c r="AA40" s="166">
        <v>64.233333333337214</v>
      </c>
      <c r="AB40" s="167">
        <v>164.37265961281625</v>
      </c>
      <c r="AC40" s="165">
        <f t="shared" si="12"/>
        <v>12.975975207196626</v>
      </c>
      <c r="AD40" s="168">
        <f t="shared" si="13"/>
        <v>7.3166479236593224E-2</v>
      </c>
      <c r="AE40" s="167">
        <f t="shared" si="14"/>
        <v>3.0137923707848702E-3</v>
      </c>
      <c r="AF40" s="168">
        <f t="shared" si="19"/>
        <v>331.80786098399136</v>
      </c>
      <c r="AG40" s="165">
        <f t="shared" si="15"/>
        <v>177.34863482001288</v>
      </c>
      <c r="AH40" s="165">
        <f t="shared" si="16"/>
        <v>1.5907123857634275</v>
      </c>
      <c r="AI40" s="165">
        <f t="shared" si="17"/>
        <v>0.12557468211603626</v>
      </c>
      <c r="AJ40" s="165">
        <f t="shared" si="18"/>
        <v>1.7162870678794637</v>
      </c>
      <c r="AK40" s="155"/>
      <c r="AL40" s="155"/>
      <c r="AM40" s="155"/>
      <c r="AN40" s="155"/>
    </row>
    <row r="41" spans="1:40" x14ac:dyDescent="0.3">
      <c r="A41" s="157" t="s">
        <v>50</v>
      </c>
      <c r="B41" s="152" t="s">
        <v>510</v>
      </c>
      <c r="C41" s="157" t="s">
        <v>186</v>
      </c>
      <c r="D41" s="173">
        <v>323.52874015748034</v>
      </c>
      <c r="E41" s="152"/>
      <c r="F41" s="160">
        <v>254.47385182170396</v>
      </c>
      <c r="G41" s="160">
        <f t="shared" si="0"/>
        <v>91.270128528467978</v>
      </c>
      <c r="H41" s="160">
        <f t="shared" si="1"/>
        <v>232.25861162901236</v>
      </c>
      <c r="I41" s="174">
        <v>139</v>
      </c>
      <c r="J41" s="161">
        <f t="shared" si="2"/>
        <v>371.25861162901236</v>
      </c>
      <c r="K41" s="152">
        <v>99</v>
      </c>
      <c r="L41" s="160">
        <f t="shared" si="3"/>
        <v>37.193593509394269</v>
      </c>
      <c r="M41" s="162">
        <v>7.4700767841011739</v>
      </c>
      <c r="N41" s="152">
        <v>96.699999999999903</v>
      </c>
      <c r="O41" s="163">
        <f t="shared" si="4"/>
        <v>0.72235642502258279</v>
      </c>
      <c r="P41" s="160">
        <f t="shared" si="20"/>
        <v>7.9144889644509844</v>
      </c>
      <c r="Q41" s="152">
        <v>47.599999999999973</v>
      </c>
      <c r="R41" s="170">
        <v>9.0438279999999995</v>
      </c>
      <c r="S41" s="165">
        <f t="shared" si="6"/>
        <v>18.372650579831923</v>
      </c>
      <c r="T41" s="171">
        <v>0.21189896835150798</v>
      </c>
      <c r="U41" s="165">
        <f t="shared" si="7"/>
        <v>7.6357659719878679E-3</v>
      </c>
      <c r="V41" s="165">
        <f t="shared" si="8"/>
        <v>1.2090051160270813E-2</v>
      </c>
      <c r="W41" s="165">
        <f t="shared" si="9"/>
        <v>2.0622390988874004</v>
      </c>
      <c r="X41" s="160">
        <v>500.79179641571903</v>
      </c>
      <c r="Y41" s="160">
        <f t="shared" si="10"/>
        <v>63.27531678483529</v>
      </c>
      <c r="Z41" s="160">
        <f t="shared" si="11"/>
        <v>765.00181711100117</v>
      </c>
      <c r="AA41" s="166">
        <v>64.233333333337214</v>
      </c>
      <c r="AB41" s="167">
        <v>174.62042890200945</v>
      </c>
      <c r="AC41" s="165">
        <f t="shared" si="12"/>
        <v>130.48883226817355</v>
      </c>
      <c r="AD41" s="168">
        <f t="shared" si="13"/>
        <v>0.42767902805608332</v>
      </c>
      <c r="AE41" s="167">
        <f t="shared" si="14"/>
        <v>6.2535608547318149E-3</v>
      </c>
      <c r="AF41" s="168">
        <f t="shared" si="19"/>
        <v>159.90889402528813</v>
      </c>
      <c r="AG41" s="165">
        <f t="shared" si="15"/>
        <v>305.109261170183</v>
      </c>
      <c r="AH41" s="165">
        <f t="shared" si="16"/>
        <v>0.34868867691485289</v>
      </c>
      <c r="AI41" s="165">
        <f t="shared" si="17"/>
        <v>0.26056503561382566</v>
      </c>
      <c r="AJ41" s="165">
        <f t="shared" si="18"/>
        <v>0.60925371252867855</v>
      </c>
      <c r="AK41" s="155"/>
      <c r="AL41" s="155"/>
      <c r="AM41" s="155"/>
    </row>
    <row r="42" spans="1:40" x14ac:dyDescent="0.3">
      <c r="A42" s="157" t="s">
        <v>51</v>
      </c>
      <c r="B42" s="152" t="s">
        <v>510</v>
      </c>
      <c r="C42" s="157" t="s">
        <v>186</v>
      </c>
      <c r="D42" s="173">
        <v>273.38677354709415</v>
      </c>
      <c r="E42" s="152"/>
      <c r="F42" s="160">
        <v>154.6513774934717</v>
      </c>
      <c r="G42" s="160">
        <f t="shared" si="0"/>
        <v>107.35727261247692</v>
      </c>
      <c r="H42" s="160">
        <f t="shared" si="1"/>
        <v>166.02950093461723</v>
      </c>
      <c r="I42" s="174">
        <v>140</v>
      </c>
      <c r="J42" s="161">
        <f t="shared" si="2"/>
        <v>306.0295009346172</v>
      </c>
      <c r="K42" s="152">
        <v>99</v>
      </c>
      <c r="L42" s="160">
        <f t="shared" si="3"/>
        <v>45.400474567479371</v>
      </c>
      <c r="M42" s="162">
        <v>2.1301942186088527</v>
      </c>
      <c r="N42" s="152">
        <v>91.600000000000009</v>
      </c>
      <c r="O42" s="163">
        <f t="shared" si="4"/>
        <v>0.19512579042457093</v>
      </c>
      <c r="P42" s="160">
        <f t="shared" si="20"/>
        <v>1.8175367692965558</v>
      </c>
      <c r="Q42" s="152">
        <f>48.8000000000001-5</f>
        <v>43.800000000000097</v>
      </c>
      <c r="R42" s="170">
        <v>22.287771999999997</v>
      </c>
      <c r="S42" s="165">
        <f t="shared" si="6"/>
        <v>46.610956968036426</v>
      </c>
      <c r="T42" s="171">
        <v>0.25639438234958423</v>
      </c>
      <c r="U42" s="165">
        <f t="shared" si="7"/>
        <v>5.2306711846750564E-2</v>
      </c>
      <c r="V42" s="165">
        <f t="shared" si="8"/>
        <v>0.17213013170499192</v>
      </c>
      <c r="W42" s="165">
        <f t="shared" si="9"/>
        <v>24.961171909261029</v>
      </c>
      <c r="X42" s="160">
        <v>321.35472153330062</v>
      </c>
      <c r="Y42" s="160">
        <f t="shared" si="10"/>
        <v>176.8078241727539</v>
      </c>
      <c r="Z42" s="160">
        <f t="shared" si="11"/>
        <v>30433.954061329183</v>
      </c>
      <c r="AA42" s="166">
        <v>64.233333333337214</v>
      </c>
      <c r="AB42" s="167">
        <v>28.372344651898487</v>
      </c>
      <c r="AC42" s="165">
        <f t="shared" si="12"/>
        <v>4413.3304940785083</v>
      </c>
      <c r="AD42" s="168">
        <f t="shared" si="13"/>
        <v>0.99361228211745733</v>
      </c>
      <c r="AE42" s="167">
        <f t="shared" si="14"/>
        <v>0.3296044052270386</v>
      </c>
      <c r="AF42" s="168">
        <f t="shared" si="19"/>
        <v>3.0339400327831738</v>
      </c>
      <c r="AG42" s="165">
        <f t="shared" si="15"/>
        <v>4441.7028387304072</v>
      </c>
      <c r="AH42" s="165">
        <f t="shared" si="16"/>
        <v>8.8289801738476656E-2</v>
      </c>
      <c r="AI42" s="165">
        <f t="shared" si="17"/>
        <v>13.733516884459947</v>
      </c>
      <c r="AJ42" s="165">
        <f t="shared" si="18"/>
        <v>13.821806686198425</v>
      </c>
      <c r="AL42" s="155"/>
    </row>
    <row r="43" spans="1:40" x14ac:dyDescent="0.3">
      <c r="A43" s="157" t="s">
        <v>52</v>
      </c>
      <c r="B43" s="152" t="s">
        <v>510</v>
      </c>
      <c r="C43" s="157" t="s">
        <v>186</v>
      </c>
      <c r="D43" s="173">
        <v>270.2722920406942</v>
      </c>
      <c r="E43" s="152"/>
      <c r="F43" s="160">
        <v>153.12291848132395</v>
      </c>
      <c r="G43" s="160">
        <f t="shared" si="0"/>
        <v>106.77511687296524</v>
      </c>
      <c r="H43" s="160">
        <f t="shared" si="1"/>
        <v>163.49717516772895</v>
      </c>
      <c r="I43" s="174">
        <v>140</v>
      </c>
      <c r="J43" s="161">
        <f t="shared" si="2"/>
        <v>303.49717516772898</v>
      </c>
      <c r="K43" s="152">
        <v>99</v>
      </c>
      <c r="L43" s="160">
        <f t="shared" si="3"/>
        <v>45.779153859578301</v>
      </c>
      <c r="M43" s="162">
        <v>1.1986224028906955</v>
      </c>
      <c r="N43" s="152">
        <v>92.799999999999883</v>
      </c>
      <c r="O43" s="163">
        <f t="shared" si="4"/>
        <v>0.1112321589882564</v>
      </c>
      <c r="P43" s="160">
        <f t="shared" si="20"/>
        <v>1.04174232954101</v>
      </c>
      <c r="Q43" s="152">
        <f>46.8999999999999-5</f>
        <v>41.899999999999899</v>
      </c>
      <c r="R43" s="164">
        <v>36.992182500000006</v>
      </c>
      <c r="S43" s="165">
        <f t="shared" si="6"/>
        <v>81.930179856802013</v>
      </c>
      <c r="T43" s="165">
        <v>0.22423657990315252</v>
      </c>
      <c r="U43" s="165">
        <f t="shared" si="7"/>
        <v>1.7236808095885375E-2</v>
      </c>
      <c r="V43" s="165">
        <f t="shared" si="8"/>
        <v>9.8879178053268554E-2</v>
      </c>
      <c r="W43" s="165">
        <f t="shared" si="9"/>
        <v>14.416981203236471</v>
      </c>
      <c r="X43" s="160">
        <v>50</v>
      </c>
      <c r="Y43" s="160">
        <f t="shared" si="10"/>
        <v>47.996513707981819</v>
      </c>
      <c r="Z43" s="160">
        <f t="shared" si="11"/>
        <v>4745.85582486768</v>
      </c>
      <c r="AA43" s="166">
        <v>64.233333333337214</v>
      </c>
      <c r="AB43" s="167">
        <v>41.359543936477635</v>
      </c>
      <c r="AC43" s="165">
        <f t="shared" si="12"/>
        <v>691.96483594885558</v>
      </c>
      <c r="AD43" s="168">
        <f t="shared" si="13"/>
        <v>0.94359993330244274</v>
      </c>
      <c r="AE43" s="167">
        <f t="shared" si="14"/>
        <v>0.33214312125545065</v>
      </c>
      <c r="AF43" s="168">
        <f t="shared" si="19"/>
        <v>3.0107502940905464</v>
      </c>
      <c r="AG43" s="165">
        <f t="shared" si="15"/>
        <v>733.3243798853332</v>
      </c>
      <c r="AH43" s="165">
        <f t="shared" si="16"/>
        <v>0.82719087872955266</v>
      </c>
      <c r="AI43" s="165">
        <f t="shared" si="17"/>
        <v>13.839296718977112</v>
      </c>
      <c r="AJ43" s="165">
        <f t="shared" si="18"/>
        <v>14.666487597706665</v>
      </c>
    </row>
    <row r="44" spans="1:40" x14ac:dyDescent="0.3">
      <c r="A44" s="157" t="s">
        <v>53</v>
      </c>
      <c r="B44" s="152" t="s">
        <v>510</v>
      </c>
      <c r="C44" s="157" t="s">
        <v>186</v>
      </c>
      <c r="D44" s="173">
        <v>287.33340060544901</v>
      </c>
      <c r="E44" s="152"/>
      <c r="F44" s="160">
        <v>154.84276729559747</v>
      </c>
      <c r="G44" s="160">
        <f t="shared" si="0"/>
        <v>112.74928602237512</v>
      </c>
      <c r="H44" s="160">
        <f t="shared" si="1"/>
        <v>174.5841145830739</v>
      </c>
      <c r="I44" s="174">
        <v>131</v>
      </c>
      <c r="J44" s="161">
        <f t="shared" si="2"/>
        <v>305.58411458307387</v>
      </c>
      <c r="K44" s="152">
        <v>99</v>
      </c>
      <c r="L44" s="160">
        <f t="shared" si="3"/>
        <v>42.556980827472657</v>
      </c>
      <c r="M44" s="162">
        <v>4.424119241192412</v>
      </c>
      <c r="N44" s="152">
        <v>95.600000000000023</v>
      </c>
      <c r="O44" s="163">
        <f t="shared" si="4"/>
        <v>0.42294579945799465</v>
      </c>
      <c r="P44" s="160">
        <f t="shared" si="20"/>
        <v>3.751206010954792</v>
      </c>
      <c r="Q44" s="152">
        <v>48.59999999999998</v>
      </c>
      <c r="R44" s="170">
        <v>8.7497000000000007</v>
      </c>
      <c r="S44" s="165">
        <f t="shared" si="6"/>
        <v>17.211344032921822</v>
      </c>
      <c r="T44" s="171">
        <v>0.20739919860108111</v>
      </c>
      <c r="U44" s="165">
        <f t="shared" si="7"/>
        <v>2.6995581015569203E-3</v>
      </c>
      <c r="V44" s="165">
        <f t="shared" si="8"/>
        <v>3.4995202367792905E-3</v>
      </c>
      <c r="W44" s="165">
        <f t="shared" si="9"/>
        <v>0.48320814803750767</v>
      </c>
      <c r="X44" s="160">
        <v>170.09265209694209</v>
      </c>
      <c r="Y44" s="160">
        <f t="shared" si="10"/>
        <v>45.343457970640358</v>
      </c>
      <c r="Z44" s="160">
        <f t="shared" si="11"/>
        <v>158.68034877380717</v>
      </c>
      <c r="AA44" s="166">
        <v>64.233333333337214</v>
      </c>
      <c r="AB44" s="167">
        <v>88.703097028382615</v>
      </c>
      <c r="AC44" s="165">
        <f t="shared" si="12"/>
        <v>21.910328351609692</v>
      </c>
      <c r="AD44" s="168">
        <f t="shared" si="13"/>
        <v>0.19808019032355922</v>
      </c>
      <c r="AE44" s="167">
        <f t="shared" si="14"/>
        <v>3.0915378998202258E-3</v>
      </c>
      <c r="AF44" s="168">
        <f t="shared" si="19"/>
        <v>323.46360691814596</v>
      </c>
      <c r="AG44" s="165">
        <f t="shared" si="15"/>
        <v>110.61342537999231</v>
      </c>
      <c r="AH44" s="165">
        <f t="shared" si="16"/>
        <v>0.52149870047194891</v>
      </c>
      <c r="AI44" s="165">
        <f t="shared" si="17"/>
        <v>0.12881407915917606</v>
      </c>
      <c r="AJ44" s="165">
        <f t="shared" si="18"/>
        <v>0.65031277963112499</v>
      </c>
    </row>
    <row r="45" spans="1:40" x14ac:dyDescent="0.3">
      <c r="A45" s="157" t="s">
        <v>54</v>
      </c>
      <c r="B45" s="152" t="s">
        <v>510</v>
      </c>
      <c r="C45" s="157" t="s">
        <v>186</v>
      </c>
      <c r="D45" s="173">
        <v>259.32822011691195</v>
      </c>
      <c r="E45" s="152"/>
      <c r="F45" s="160">
        <v>155.04667497083949</v>
      </c>
      <c r="G45" s="160">
        <f t="shared" si="0"/>
        <v>101.67873003894756</v>
      </c>
      <c r="H45" s="160">
        <f t="shared" si="1"/>
        <v>157.6494900779644</v>
      </c>
      <c r="I45" s="174">
        <v>141</v>
      </c>
      <c r="J45" s="161">
        <f t="shared" si="2"/>
        <v>298.6494900779644</v>
      </c>
      <c r="K45" s="152">
        <v>99</v>
      </c>
      <c r="L45" s="160">
        <f t="shared" si="3"/>
        <v>46.848891951907078</v>
      </c>
      <c r="M45" s="162">
        <v>9.420167118337849</v>
      </c>
      <c r="N45" s="152">
        <v>94.8</v>
      </c>
      <c r="O45" s="163">
        <f t="shared" si="4"/>
        <v>0.89303184281842807</v>
      </c>
      <c r="P45" s="160">
        <f t="shared" si="20"/>
        <v>8.7828776232389636</v>
      </c>
      <c r="Q45" s="152">
        <v>48.899999999999942</v>
      </c>
      <c r="R45" s="170">
        <v>7.9250999999999987</v>
      </c>
      <c r="S45" s="165">
        <f t="shared" si="6"/>
        <v>15.363997546012286</v>
      </c>
      <c r="T45" s="171">
        <v>0.20986161826129571</v>
      </c>
      <c r="U45" s="165">
        <f t="shared" si="7"/>
        <v>4.357038838446986E-3</v>
      </c>
      <c r="V45" s="165">
        <f t="shared" si="8"/>
        <v>4.5800286104122623E-3</v>
      </c>
      <c r="W45" s="165">
        <f t="shared" si="9"/>
        <v>0.70125765928756933</v>
      </c>
      <c r="X45" s="160">
        <v>50</v>
      </c>
      <c r="Y45" s="160">
        <f t="shared" si="10"/>
        <v>5.6928949878230135</v>
      </c>
      <c r="Z45" s="160">
        <f t="shared" si="11"/>
        <v>26.073621920301967</v>
      </c>
      <c r="AA45" s="166">
        <v>64.233333333337214</v>
      </c>
      <c r="AB45" s="167">
        <v>310.81215171715763</v>
      </c>
      <c r="AC45" s="165">
        <f t="shared" si="12"/>
        <v>3.9921862137307018</v>
      </c>
      <c r="AD45" s="168">
        <f t="shared" si="13"/>
        <v>1.2681484124297997E-2</v>
      </c>
      <c r="AE45" s="167">
        <f t="shared" si="14"/>
        <v>1.9162493825907367E-3</v>
      </c>
      <c r="AF45" s="168">
        <f t="shared" si="19"/>
        <v>521.85274478628503</v>
      </c>
      <c r="AG45" s="165">
        <f t="shared" si="15"/>
        <v>314.80433793088832</v>
      </c>
      <c r="AH45" s="165">
        <f t="shared" si="16"/>
        <v>6.2162430343431527</v>
      </c>
      <c r="AI45" s="165">
        <f t="shared" si="17"/>
        <v>7.9843724274614031E-2</v>
      </c>
      <c r="AJ45" s="165">
        <f t="shared" si="18"/>
        <v>6.2960867586177667</v>
      </c>
    </row>
    <row r="46" spans="1:40" x14ac:dyDescent="0.3">
      <c r="A46" s="157" t="s">
        <v>55</v>
      </c>
      <c r="B46" s="152" t="s">
        <v>510</v>
      </c>
      <c r="C46" s="157" t="s">
        <v>186</v>
      </c>
      <c r="D46" s="173">
        <v>254.40413159908186</v>
      </c>
      <c r="E46" s="152"/>
      <c r="F46" s="160">
        <v>251.98050021195422</v>
      </c>
      <c r="G46" s="160">
        <f t="shared" si="0"/>
        <v>72.277905010614447</v>
      </c>
      <c r="H46" s="160">
        <f t="shared" si="1"/>
        <v>182.12622658846743</v>
      </c>
      <c r="I46" s="174">
        <v>160</v>
      </c>
      <c r="J46" s="161">
        <f t="shared" si="2"/>
        <v>342.12622658846743</v>
      </c>
      <c r="K46" s="152">
        <v>99</v>
      </c>
      <c r="L46" s="160">
        <f t="shared" si="3"/>
        <v>46.407953638723797</v>
      </c>
      <c r="M46" s="162">
        <v>14.554539295392953</v>
      </c>
      <c r="N46" s="152">
        <v>95.499999999999915</v>
      </c>
      <c r="O46" s="163">
        <f t="shared" si="4"/>
        <v>1.3899585027100259</v>
      </c>
      <c r="P46" s="160">
        <f t="shared" si="20"/>
        <v>19.230752503215225</v>
      </c>
      <c r="Q46" s="152">
        <v>48.299999999999898</v>
      </c>
      <c r="R46" s="170">
        <v>11.408756</v>
      </c>
      <c r="S46" s="165">
        <f t="shared" si="6"/>
        <v>22.5576852587992</v>
      </c>
      <c r="T46" s="171">
        <v>0.21158534356854969</v>
      </c>
      <c r="U46" s="165">
        <f t="shared" si="7"/>
        <v>6.3537148829711787E-3</v>
      </c>
      <c r="V46" s="165">
        <f t="shared" si="8"/>
        <v>9.8992362892886352E-3</v>
      </c>
      <c r="W46" s="165">
        <f t="shared" si="9"/>
        <v>2.1322379799765949</v>
      </c>
      <c r="X46" s="160">
        <v>451.95006462449192</v>
      </c>
      <c r="Y46" s="160">
        <f t="shared" si="10"/>
        <v>23.501423802783044</v>
      </c>
      <c r="Z46" s="160">
        <f t="shared" si="11"/>
        <v>232.64614735846163</v>
      </c>
      <c r="AA46" s="166">
        <v>64.233333333337214</v>
      </c>
      <c r="AB46" s="167">
        <v>90.565825734921333</v>
      </c>
      <c r="AC46" s="165">
        <f t="shared" si="12"/>
        <v>50.110628415819988</v>
      </c>
      <c r="AD46" s="168">
        <f t="shared" si="13"/>
        <v>0.35621190993429597</v>
      </c>
      <c r="AE46" s="167">
        <f t="shared" si="14"/>
        <v>2.6610353136666104E-3</v>
      </c>
      <c r="AF46" s="168">
        <f t="shared" si="19"/>
        <v>375.79358487434399</v>
      </c>
      <c r="AG46" s="165">
        <f t="shared" si="15"/>
        <v>140.67645415074134</v>
      </c>
      <c r="AH46" s="165">
        <f t="shared" si="16"/>
        <v>0.20038900937024764</v>
      </c>
      <c r="AI46" s="165">
        <f t="shared" si="17"/>
        <v>0.11087647140277544</v>
      </c>
      <c r="AJ46" s="165">
        <f t="shared" si="18"/>
        <v>0.31126548077302307</v>
      </c>
    </row>
    <row r="47" spans="1:40" x14ac:dyDescent="0.3">
      <c r="A47" s="157" t="s">
        <v>56</v>
      </c>
      <c r="B47" s="152" t="s">
        <v>510</v>
      </c>
      <c r="C47" s="157" t="s">
        <v>186</v>
      </c>
      <c r="D47" s="173">
        <v>283.63207020343037</v>
      </c>
      <c r="E47" s="152"/>
      <c r="F47" s="160">
        <v>153.65613296774453</v>
      </c>
      <c r="G47" s="160">
        <f t="shared" si="0"/>
        <v>111.81754877556919</v>
      </c>
      <c r="H47" s="160">
        <f t="shared" si="1"/>
        <v>171.81452142786117</v>
      </c>
      <c r="I47" s="174">
        <v>143</v>
      </c>
      <c r="J47" s="161">
        <f t="shared" si="2"/>
        <v>314.81452142786117</v>
      </c>
      <c r="K47" s="152">
        <v>99</v>
      </c>
      <c r="L47" s="160">
        <f t="shared" si="3"/>
        <v>45.081052644880479</v>
      </c>
      <c r="M47" s="162">
        <v>5.8350271002710024</v>
      </c>
      <c r="N47" s="152">
        <v>94.500000000000028</v>
      </c>
      <c r="O47" s="163">
        <f t="shared" si="4"/>
        <v>0.55141006097560985</v>
      </c>
      <c r="P47" s="160">
        <f t="shared" si="20"/>
        <v>4.9313374064598205</v>
      </c>
      <c r="Q47" s="152">
        <v>48.099999999999923</v>
      </c>
      <c r="R47" s="170">
        <v>9.1727879999999988</v>
      </c>
      <c r="S47" s="165">
        <f t="shared" si="6"/>
        <v>18.021381829521861</v>
      </c>
      <c r="T47" s="171">
        <v>0.20675776558357328</v>
      </c>
      <c r="U47" s="165">
        <f t="shared" si="7"/>
        <v>2.0602023625850008E-3</v>
      </c>
      <c r="V47" s="165">
        <f t="shared" si="8"/>
        <v>2.6398288765072924E-3</v>
      </c>
      <c r="W47" s="165">
        <f t="shared" si="9"/>
        <v>0.3675406234593262</v>
      </c>
      <c r="X47" s="160">
        <v>51.138013752786271</v>
      </c>
      <c r="Y47" s="160">
        <f t="shared" si="10"/>
        <v>10.370009094449282</v>
      </c>
      <c r="Z47" s="160">
        <f t="shared" si="11"/>
        <v>27.375049457170451</v>
      </c>
      <c r="AA47" s="166">
        <v>64.233333333337214</v>
      </c>
      <c r="AB47" s="167">
        <v>138.04332931430832</v>
      </c>
      <c r="AC47" s="165">
        <f t="shared" si="12"/>
        <v>3.8113996078527714</v>
      </c>
      <c r="AD47" s="168">
        <f t="shared" si="13"/>
        <v>2.6868329570769355E-2</v>
      </c>
      <c r="AE47" s="167">
        <f t="shared" si="14"/>
        <v>1.7887591612508131E-3</v>
      </c>
      <c r="AF47" s="168">
        <f t="shared" si="19"/>
        <v>559.04675244303826</v>
      </c>
      <c r="AG47" s="165">
        <f t="shared" si="15"/>
        <v>141.85472892216109</v>
      </c>
      <c r="AH47" s="165">
        <f t="shared" si="16"/>
        <v>2.6994268878264163</v>
      </c>
      <c r="AI47" s="165">
        <f t="shared" si="17"/>
        <v>7.4531631718783881E-2</v>
      </c>
      <c r="AJ47" s="165">
        <f t="shared" si="18"/>
        <v>2.7739585195452001</v>
      </c>
    </row>
    <row r="48" spans="1:40" x14ac:dyDescent="0.3">
      <c r="A48" s="157" t="s">
        <v>57</v>
      </c>
      <c r="B48" s="152" t="s">
        <v>510</v>
      </c>
      <c r="C48" s="157" t="s">
        <v>186</v>
      </c>
      <c r="D48" s="173">
        <v>277.5437266102029</v>
      </c>
      <c r="E48" s="152"/>
      <c r="F48" s="160">
        <v>152.37540460503661</v>
      </c>
      <c r="G48" s="160">
        <f t="shared" si="0"/>
        <v>109.97257321669451</v>
      </c>
      <c r="H48" s="160">
        <f t="shared" si="1"/>
        <v>167.57115339350838</v>
      </c>
      <c r="I48" s="174">
        <v>145</v>
      </c>
      <c r="J48" s="161">
        <f t="shared" si="2"/>
        <v>312.57115339350838</v>
      </c>
      <c r="K48" s="152">
        <v>99</v>
      </c>
      <c r="L48" s="160">
        <f t="shared" si="3"/>
        <v>46.038550586471352</v>
      </c>
      <c r="M48" s="162">
        <v>2.1443089430894307</v>
      </c>
      <c r="N48" s="152">
        <v>95.600000000000023</v>
      </c>
      <c r="O48" s="163">
        <f t="shared" si="4"/>
        <v>0.20499593495934962</v>
      </c>
      <c r="P48" s="160">
        <f t="shared" si="20"/>
        <v>1.8640641840344787</v>
      </c>
      <c r="Q48" s="152">
        <v>47.600000000000087</v>
      </c>
      <c r="R48" s="164">
        <v>16.459970800000001</v>
      </c>
      <c r="S48" s="165">
        <f t="shared" si="6"/>
        <v>33.058260682352888</v>
      </c>
      <c r="T48" s="165">
        <v>0.21221468197522012</v>
      </c>
      <c r="U48" s="165">
        <f t="shared" si="7"/>
        <v>1.4214955382698402E-3</v>
      </c>
      <c r="V48" s="165">
        <f t="shared" si="8"/>
        <v>3.2717168645105695E-3</v>
      </c>
      <c r="W48" s="165">
        <f t="shared" si="9"/>
        <v>0.46315980839223558</v>
      </c>
      <c r="X48" s="160">
        <v>50</v>
      </c>
      <c r="Y48" s="160">
        <f t="shared" si="10"/>
        <v>26.823110721317938</v>
      </c>
      <c r="Z48" s="160">
        <f t="shared" si="11"/>
        <v>87.757623705570168</v>
      </c>
      <c r="AA48" s="166">
        <v>64.233333333337214</v>
      </c>
      <c r="AB48" s="167">
        <v>80.776853288567267</v>
      </c>
      <c r="AC48" s="165">
        <f t="shared" si="12"/>
        <v>12.423386822169338</v>
      </c>
      <c r="AD48" s="168">
        <f t="shared" si="13"/>
        <v>0.13329779845425713</v>
      </c>
      <c r="AE48" s="167">
        <f t="shared" si="14"/>
        <v>5.9632256746412812E-3</v>
      </c>
      <c r="AF48" s="168">
        <f t="shared" si="19"/>
        <v>167.6944751986357</v>
      </c>
      <c r="AG48" s="165">
        <f t="shared" si="15"/>
        <v>93.200240110736601</v>
      </c>
      <c r="AH48" s="165">
        <f t="shared" si="16"/>
        <v>1.6155370657713453</v>
      </c>
      <c r="AI48" s="165">
        <f t="shared" si="17"/>
        <v>0.24846773644338677</v>
      </c>
      <c r="AJ48" s="165">
        <f t="shared" si="18"/>
        <v>1.864004802214732</v>
      </c>
    </row>
    <row r="49" spans="1:36" x14ac:dyDescent="0.3">
      <c r="A49" s="157" t="s">
        <v>58</v>
      </c>
      <c r="B49" s="152" t="s">
        <v>510</v>
      </c>
      <c r="C49" s="157" t="s">
        <v>186</v>
      </c>
      <c r="D49" s="173">
        <v>275.37644678267901</v>
      </c>
      <c r="E49" s="152"/>
      <c r="F49" s="160">
        <v>154.77040971476075</v>
      </c>
      <c r="G49" s="160">
        <f t="shared" si="0"/>
        <v>108.08808098671609</v>
      </c>
      <c r="H49" s="160">
        <f t="shared" si="1"/>
        <v>167.28836579596293</v>
      </c>
      <c r="I49" s="174">
        <v>131</v>
      </c>
      <c r="J49" s="161">
        <f t="shared" si="2"/>
        <v>298.28836579596293</v>
      </c>
      <c r="K49" s="152">
        <v>99</v>
      </c>
      <c r="L49" s="160">
        <f t="shared" si="3"/>
        <v>43.593282174552826</v>
      </c>
      <c r="M49" s="162">
        <v>3.776535682023487</v>
      </c>
      <c r="N49" s="152">
        <v>94.8</v>
      </c>
      <c r="O49" s="163">
        <f t="shared" si="4"/>
        <v>0.35801558265582656</v>
      </c>
      <c r="P49" s="160">
        <f t="shared" si="20"/>
        <v>3.3122577382035887</v>
      </c>
      <c r="Q49" s="152">
        <v>49.10000000000003</v>
      </c>
      <c r="R49" s="170">
        <v>5.5594279999999996</v>
      </c>
      <c r="S49" s="165">
        <f t="shared" si="6"/>
        <v>10.733885425661907</v>
      </c>
      <c r="T49" s="171">
        <v>0.21123952322784567</v>
      </c>
      <c r="U49" s="165">
        <f t="shared" si="7"/>
        <v>5.7924835241920658E-3</v>
      </c>
      <c r="V49" s="165">
        <f t="shared" si="8"/>
        <v>4.571661306581376E-3</v>
      </c>
      <c r="W49" s="165">
        <f t="shared" si="9"/>
        <v>0.65846967932014511</v>
      </c>
      <c r="X49" s="160">
        <v>50</v>
      </c>
      <c r="Y49" s="160">
        <f t="shared" si="10"/>
        <v>15.095443637522491</v>
      </c>
      <c r="Z49" s="160">
        <f t="shared" si="11"/>
        <v>69.011255583341594</v>
      </c>
      <c r="AA49" s="166">
        <v>64.233333333337214</v>
      </c>
      <c r="AB49" s="167">
        <v>89.208969051381956</v>
      </c>
      <c r="AC49" s="165">
        <f t="shared" si="12"/>
        <v>9.9398919311947598</v>
      </c>
      <c r="AD49" s="168">
        <f t="shared" si="13"/>
        <v>0.10025220494405358</v>
      </c>
      <c r="AE49" s="167">
        <f t="shared" si="14"/>
        <v>4.7711481269734849E-3</v>
      </c>
      <c r="AF49" s="168">
        <f t="shared" si="19"/>
        <v>209.59315732549618</v>
      </c>
      <c r="AG49" s="165">
        <f t="shared" si="15"/>
        <v>99.148860982576721</v>
      </c>
      <c r="AH49" s="165">
        <f t="shared" si="16"/>
        <v>1.7841793810276392</v>
      </c>
      <c r="AI49" s="165">
        <f t="shared" si="17"/>
        <v>0.19879783862389519</v>
      </c>
      <c r="AJ49" s="165">
        <f t="shared" si="18"/>
        <v>1.9829772196515345</v>
      </c>
    </row>
    <row r="50" spans="1:36" x14ac:dyDescent="0.3">
      <c r="A50" s="157" t="s">
        <v>59</v>
      </c>
      <c r="B50" s="152" t="s">
        <v>510</v>
      </c>
      <c r="C50" s="157" t="s">
        <v>186</v>
      </c>
      <c r="D50" s="173">
        <v>268.40021480179655</v>
      </c>
      <c r="E50" s="152"/>
      <c r="F50" s="160">
        <v>155.47628857706769</v>
      </c>
      <c r="G50" s="160">
        <f t="shared" si="0"/>
        <v>105.05875762353976</v>
      </c>
      <c r="H50" s="160">
        <f t="shared" si="1"/>
        <v>163.3414571782568</v>
      </c>
      <c r="I50" s="174">
        <v>148</v>
      </c>
      <c r="J50" s="161">
        <f t="shared" si="2"/>
        <v>311.3414571782568</v>
      </c>
      <c r="K50" s="152">
        <v>99</v>
      </c>
      <c r="L50" s="160">
        <f t="shared" si="3"/>
        <v>47.167790992081869</v>
      </c>
      <c r="M50" s="162">
        <v>4.7053455787118805</v>
      </c>
      <c r="N50" s="152">
        <v>95.600000000000136</v>
      </c>
      <c r="O50" s="163">
        <f t="shared" si="4"/>
        <v>0.44983103732485641</v>
      </c>
      <c r="P50" s="160">
        <f t="shared" si="20"/>
        <v>4.2817090883251216</v>
      </c>
      <c r="Q50" s="152">
        <v>47.899999999999942</v>
      </c>
      <c r="R50" s="170">
        <v>19.587548000000002</v>
      </c>
      <c r="S50" s="165">
        <f t="shared" si="6"/>
        <v>39.093310830897806</v>
      </c>
      <c r="T50" s="171">
        <v>0.21377901413063718</v>
      </c>
      <c r="U50" s="165">
        <f t="shared" si="7"/>
        <v>9.9802974466235428E-3</v>
      </c>
      <c r="V50" s="165">
        <f t="shared" si="8"/>
        <v>2.651381699250261E-2</v>
      </c>
      <c r="W50" s="165">
        <f t="shared" si="9"/>
        <v>3.9463849366994919</v>
      </c>
      <c r="X50" s="160">
        <v>131.23901406385752</v>
      </c>
      <c r="Y50" s="160">
        <f t="shared" si="10"/>
        <v>30.651081462237865</v>
      </c>
      <c r="Z50" s="160">
        <f t="shared" si="11"/>
        <v>812.67716451206411</v>
      </c>
      <c r="AA50" s="166">
        <v>63.949999999953434</v>
      </c>
      <c r="AB50" s="167">
        <v>124.49671683207397</v>
      </c>
      <c r="AC50" s="165">
        <f t="shared" si="12"/>
        <v>120.96096617612454</v>
      </c>
      <c r="AD50" s="168">
        <f t="shared" si="13"/>
        <v>0.49279763702521523</v>
      </c>
      <c r="AE50" s="167">
        <f t="shared" si="14"/>
        <v>2.2120428204485235E-2</v>
      </c>
      <c r="AF50" s="168">
        <f t="shared" si="19"/>
        <v>45.207081470386527</v>
      </c>
      <c r="AG50" s="165">
        <f t="shared" si="15"/>
        <v>245.4576830081985</v>
      </c>
      <c r="AH50" s="165">
        <f t="shared" si="16"/>
        <v>0.948625816188295</v>
      </c>
      <c r="AI50" s="165">
        <f t="shared" si="17"/>
        <v>0.92168450852021833</v>
      </c>
      <c r="AJ50" s="165">
        <f t="shared" si="18"/>
        <v>1.8703103247085133</v>
      </c>
    </row>
    <row r="51" spans="1:36" x14ac:dyDescent="0.3">
      <c r="A51" s="157" t="s">
        <v>60</v>
      </c>
      <c r="B51" s="152" t="s">
        <v>510</v>
      </c>
      <c r="C51" s="157" t="s">
        <v>186</v>
      </c>
      <c r="D51" s="173">
        <v>319.67734640784465</v>
      </c>
      <c r="E51" s="152"/>
      <c r="F51" s="160">
        <v>255.33643419644179</v>
      </c>
      <c r="G51" s="160">
        <f t="shared" si="0"/>
        <v>89.964697014749802</v>
      </c>
      <c r="H51" s="160">
        <f t="shared" si="1"/>
        <v>229.71264939309486</v>
      </c>
      <c r="I51" s="174">
        <v>140</v>
      </c>
      <c r="J51" s="161">
        <f t="shared" si="2"/>
        <v>369.71264939309486</v>
      </c>
      <c r="K51" s="152">
        <v>99</v>
      </c>
      <c r="L51" s="160">
        <f t="shared" si="3"/>
        <v>37.616316400500963</v>
      </c>
      <c r="M51" s="162">
        <v>4.559048628282115</v>
      </c>
      <c r="N51" s="152">
        <v>94.7</v>
      </c>
      <c r="O51" s="163">
        <f t="shared" si="4"/>
        <v>0.43174190509831628</v>
      </c>
      <c r="P51" s="160">
        <f t="shared" si="20"/>
        <v>4.7990147182681193</v>
      </c>
      <c r="Q51" s="152">
        <v>48.699999999999967</v>
      </c>
      <c r="R51" s="170">
        <v>5.5936519999999996</v>
      </c>
      <c r="S51" s="165">
        <f t="shared" si="6"/>
        <v>10.877183663244359</v>
      </c>
      <c r="T51" s="171">
        <v>0.21118489793380019</v>
      </c>
      <c r="U51" s="165">
        <f t="shared" si="7"/>
        <v>5.5889198154252528E-3</v>
      </c>
      <c r="V51" s="165">
        <f t="shared" si="8"/>
        <v>5.1801213059803706E-3</v>
      </c>
      <c r="W51" s="165">
        <f t="shared" si="9"/>
        <v>0.9003829439396015</v>
      </c>
      <c r="X51" s="160">
        <v>716.10985326455511</v>
      </c>
      <c r="Y51" s="160">
        <f t="shared" si="10"/>
        <v>149.2201827468007</v>
      </c>
      <c r="Z51" s="160">
        <f t="shared" si="11"/>
        <v>772.9786479289869</v>
      </c>
      <c r="AA51" s="166">
        <v>63.949999999953434</v>
      </c>
      <c r="AB51" s="167">
        <v>178.77635519567704</v>
      </c>
      <c r="AC51" s="165">
        <f t="shared" si="12"/>
        <v>134.35530743676975</v>
      </c>
      <c r="AD51" s="168">
        <f t="shared" si="13"/>
        <v>0.42906969645696824</v>
      </c>
      <c r="AE51" s="167">
        <f t="shared" si="14"/>
        <v>4.502839004075573E-3</v>
      </c>
      <c r="AF51" s="168">
        <f t="shared" si="19"/>
        <v>222.082112883647</v>
      </c>
      <c r="AG51" s="165">
        <f t="shared" si="15"/>
        <v>313.13166263244682</v>
      </c>
      <c r="AH51" s="165">
        <f t="shared" si="16"/>
        <v>0.24964934413439921</v>
      </c>
      <c r="AI51" s="165">
        <f t="shared" si="17"/>
        <v>0.18761829183648221</v>
      </c>
      <c r="AJ51" s="165">
        <f t="shared" si="18"/>
        <v>0.43726763597088147</v>
      </c>
    </row>
    <row r="52" spans="1:36" x14ac:dyDescent="0.3">
      <c r="A52" s="157" t="s">
        <v>61</v>
      </c>
      <c r="B52" s="152" t="s">
        <v>510</v>
      </c>
      <c r="C52" s="157" t="s">
        <v>186</v>
      </c>
      <c r="D52" s="173">
        <v>253.92266450040617</v>
      </c>
      <c r="E52" s="152"/>
      <c r="F52" s="160">
        <v>156.88306104901108</v>
      </c>
      <c r="G52" s="160">
        <f t="shared" si="0"/>
        <v>98.847570354963921</v>
      </c>
      <c r="H52" s="160">
        <f t="shared" si="1"/>
        <v>155.07509414544225</v>
      </c>
      <c r="I52" s="174">
        <v>140</v>
      </c>
      <c r="J52" s="161">
        <f t="shared" si="2"/>
        <v>295.07509414544222</v>
      </c>
      <c r="K52" s="152">
        <v>99</v>
      </c>
      <c r="L52" s="160">
        <f t="shared" si="3"/>
        <v>47.078581121652434</v>
      </c>
      <c r="M52" s="162">
        <v>2.0452137054044508</v>
      </c>
      <c r="N52" s="152">
        <v>94.999999999999972</v>
      </c>
      <c r="O52" s="163">
        <f t="shared" si="4"/>
        <v>0.19429530201342277</v>
      </c>
      <c r="P52" s="160">
        <f t="shared" si="20"/>
        <v>1.9656052375966737</v>
      </c>
      <c r="Q52" s="152">
        <v>48.099999999999923</v>
      </c>
      <c r="R52" s="170">
        <v>7.7358759999999993</v>
      </c>
      <c r="S52" s="165">
        <f t="shared" si="6"/>
        <v>15.27875717255719</v>
      </c>
      <c r="T52" s="171">
        <v>0.21302987048588265</v>
      </c>
      <c r="U52" s="165">
        <f t="shared" si="7"/>
        <v>8.5047216848454232E-3</v>
      </c>
      <c r="V52" s="165">
        <f t="shared" si="8"/>
        <v>8.8470121450350773E-3</v>
      </c>
      <c r="W52" s="165">
        <f t="shared" si="9"/>
        <v>1.3995553402158016</v>
      </c>
      <c r="X52" s="160">
        <v>65.794353508132161</v>
      </c>
      <c r="Y52" s="160">
        <f t="shared" si="10"/>
        <v>33.472821627489289</v>
      </c>
      <c r="Z52" s="160">
        <f t="shared" si="11"/>
        <v>296.13445946699051</v>
      </c>
      <c r="AA52" s="166">
        <v>63.949999999953434</v>
      </c>
      <c r="AB52" s="167">
        <v>88.625488604619505</v>
      </c>
      <c r="AC52" s="165">
        <f t="shared" si="12"/>
        <v>46.847066260843604</v>
      </c>
      <c r="AD52" s="168">
        <f t="shared" si="13"/>
        <v>0.34580484812859041</v>
      </c>
      <c r="AE52" s="167">
        <f t="shared" si="14"/>
        <v>1.7088542257980843E-2</v>
      </c>
      <c r="AF52" s="168">
        <f t="shared" si="19"/>
        <v>58.518742260357001</v>
      </c>
      <c r="AG52" s="165">
        <f t="shared" si="15"/>
        <v>135.47255486546311</v>
      </c>
      <c r="AH52" s="165">
        <f t="shared" si="16"/>
        <v>1.3470075147659202</v>
      </c>
      <c r="AI52" s="165">
        <f t="shared" si="17"/>
        <v>0.7120225940825351</v>
      </c>
      <c r="AJ52" s="165">
        <f t="shared" si="18"/>
        <v>2.0590301088484555</v>
      </c>
    </row>
    <row r="53" spans="1:36" x14ac:dyDescent="0.3">
      <c r="A53" s="157" t="s">
        <v>62</v>
      </c>
      <c r="B53" s="152" t="s">
        <v>510</v>
      </c>
      <c r="C53" s="157" t="s">
        <v>186</v>
      </c>
      <c r="D53" s="173">
        <v>298.81229174379865</v>
      </c>
      <c r="E53" s="152"/>
      <c r="F53" s="160">
        <v>153.51059709575367</v>
      </c>
      <c r="G53" s="160">
        <f t="shared" si="0"/>
        <v>117.86974397402963</v>
      </c>
      <c r="H53" s="160">
        <f t="shared" si="1"/>
        <v>180.94254776976902</v>
      </c>
      <c r="I53" s="174">
        <v>175</v>
      </c>
      <c r="J53" s="161">
        <f t="shared" si="2"/>
        <v>355.94254776976902</v>
      </c>
      <c r="K53" s="152">
        <v>99</v>
      </c>
      <c r="L53" s="160">
        <f t="shared" si="3"/>
        <v>48.776912709305854</v>
      </c>
      <c r="M53" s="162">
        <v>0.56222771694336515</v>
      </c>
      <c r="N53" s="152">
        <v>93.500000000000028</v>
      </c>
      <c r="O53" s="163">
        <f t="shared" si="4"/>
        <v>5.2568291534204656E-2</v>
      </c>
      <c r="P53" s="160">
        <f t="shared" si="20"/>
        <v>0.44598630455825106</v>
      </c>
      <c r="Q53" s="152">
        <v>48.099999999999923</v>
      </c>
      <c r="R53" s="170">
        <v>54.477676000000002</v>
      </c>
      <c r="S53" s="165">
        <f t="shared" si="6"/>
        <v>105.89735355509376</v>
      </c>
      <c r="T53" s="171">
        <v>0.22057853079449741</v>
      </c>
      <c r="U53" s="165">
        <f t="shared" si="7"/>
        <v>1.7317426387199436E-2</v>
      </c>
      <c r="V53" s="165">
        <f t="shared" si="8"/>
        <v>0.12051080924175378</v>
      </c>
      <c r="W53" s="165">
        <f t="shared" si="9"/>
        <v>15.987594103984557</v>
      </c>
      <c r="X53" s="160">
        <v>50</v>
      </c>
      <c r="Y53" s="160">
        <f t="shared" si="10"/>
        <v>112.11106594298887</v>
      </c>
      <c r="Z53" s="160">
        <f t="shared" si="11"/>
        <v>13510.595281745211</v>
      </c>
      <c r="AA53" s="166">
        <v>63.949999999953434</v>
      </c>
      <c r="AB53" s="167">
        <v>128.86568387568593</v>
      </c>
      <c r="AC53" s="165">
        <f t="shared" si="12"/>
        <v>1792.3862168615531</v>
      </c>
      <c r="AD53" s="168">
        <f t="shared" si="13"/>
        <v>0.93292619056031312</v>
      </c>
      <c r="AE53" s="167">
        <f t="shared" si="14"/>
        <v>0.86034538409354544</v>
      </c>
      <c r="AF53" s="168">
        <f t="shared" si="19"/>
        <v>1.1623238974584535</v>
      </c>
      <c r="AG53" s="165">
        <f t="shared" si="15"/>
        <v>1921.2519007372389</v>
      </c>
      <c r="AH53" s="165">
        <f t="shared" si="16"/>
        <v>2.5773136775137186</v>
      </c>
      <c r="AI53" s="165">
        <f t="shared" si="17"/>
        <v>35.847724337231064</v>
      </c>
      <c r="AJ53" s="165">
        <f t="shared" si="18"/>
        <v>38.425038014744779</v>
      </c>
    </row>
    <row r="54" spans="1:36" x14ac:dyDescent="0.3">
      <c r="A54" s="157" t="s">
        <v>63</v>
      </c>
      <c r="B54" s="152" t="s">
        <v>510</v>
      </c>
      <c r="C54" s="157" t="s">
        <v>186</v>
      </c>
      <c r="D54" s="173">
        <v>298.49063035612267</v>
      </c>
      <c r="E54" s="152"/>
      <c r="F54" s="160">
        <v>151.03665778961377</v>
      </c>
      <c r="G54" s="160">
        <f t="shared" si="0"/>
        <v>118.90320441020158</v>
      </c>
      <c r="H54" s="160">
        <f t="shared" si="1"/>
        <v>179.5874259459211</v>
      </c>
      <c r="I54" s="174">
        <v>160</v>
      </c>
      <c r="J54" s="161">
        <f t="shared" si="2"/>
        <v>339.5874259459211</v>
      </c>
      <c r="K54" s="152">
        <v>99</v>
      </c>
      <c r="L54" s="160">
        <f t="shared" si="3"/>
        <v>46.753345721340068</v>
      </c>
      <c r="M54" s="162">
        <v>0.99140468621217481</v>
      </c>
      <c r="N54" s="152">
        <v>96.099999999999966</v>
      </c>
      <c r="O54" s="163">
        <f t="shared" si="4"/>
        <v>9.527399034498997E-2</v>
      </c>
      <c r="P54" s="160">
        <f t="shared" si="20"/>
        <v>0.80127353015908886</v>
      </c>
      <c r="Q54" s="152">
        <v>48.499999999999986</v>
      </c>
      <c r="R54" s="170">
        <v>5.199084</v>
      </c>
      <c r="S54" s="165">
        <f t="shared" si="6"/>
        <v>10.301690152577319</v>
      </c>
      <c r="T54" s="171">
        <v>0.21079441880499578</v>
      </c>
      <c r="U54" s="165">
        <f t="shared" si="7"/>
        <v>5.6111902157461035E-3</v>
      </c>
      <c r="V54" s="165">
        <f t="shared" si="8"/>
        <v>3.962986873802218E-3</v>
      </c>
      <c r="W54" s="165">
        <f t="shared" si="9"/>
        <v>0.52118094157971551</v>
      </c>
      <c r="X54" s="160">
        <v>50</v>
      </c>
      <c r="Y54" s="160">
        <f t="shared" si="10"/>
        <v>62.400663591211789</v>
      </c>
      <c r="Z54" s="160">
        <f t="shared" si="11"/>
        <v>247.2930107285203</v>
      </c>
      <c r="AA54" s="166">
        <v>63.949999999953434</v>
      </c>
      <c r="AB54" s="167">
        <v>99.552183839906377</v>
      </c>
      <c r="AC54" s="165">
        <f t="shared" si="12"/>
        <v>32.522036605666834</v>
      </c>
      <c r="AD54" s="168">
        <f t="shared" si="13"/>
        <v>0.24624060998390612</v>
      </c>
      <c r="AE54" s="167">
        <f t="shared" si="14"/>
        <v>1.5610577570720076E-2</v>
      </c>
      <c r="AF54" s="168">
        <f t="shared" si="19"/>
        <v>64.05912884835513</v>
      </c>
      <c r="AG54" s="165">
        <f t="shared" si="15"/>
        <v>132.07422044557322</v>
      </c>
      <c r="AH54" s="165">
        <f t="shared" si="16"/>
        <v>1.9910436767981274</v>
      </c>
      <c r="AI54" s="165">
        <f t="shared" si="17"/>
        <v>0.65044073211333664</v>
      </c>
      <c r="AJ54" s="165">
        <f t="shared" si="18"/>
        <v>2.6414844089114644</v>
      </c>
    </row>
    <row r="55" spans="1:36" x14ac:dyDescent="0.3">
      <c r="A55" s="157" t="s">
        <v>64</v>
      </c>
      <c r="B55" s="152" t="s">
        <v>510</v>
      </c>
      <c r="C55" s="157" t="s">
        <v>186</v>
      </c>
      <c r="D55" s="173">
        <v>300.10499519692604</v>
      </c>
      <c r="E55" s="152"/>
      <c r="F55" s="160">
        <v>152.16307546758284</v>
      </c>
      <c r="G55" s="160">
        <f t="shared" si="0"/>
        <v>119.0122680096779</v>
      </c>
      <c r="H55" s="160">
        <f t="shared" si="1"/>
        <v>181.09272718724816</v>
      </c>
      <c r="I55" s="174">
        <v>160</v>
      </c>
      <c r="J55" s="161">
        <f t="shared" si="2"/>
        <v>341.09272718724816</v>
      </c>
      <c r="K55" s="152">
        <v>99</v>
      </c>
      <c r="L55" s="160">
        <f t="shared" si="3"/>
        <v>46.547966281940305</v>
      </c>
      <c r="M55" s="162">
        <v>1.9577887672200638</v>
      </c>
      <c r="N55" s="152">
        <v>93.600000000000023</v>
      </c>
      <c r="O55" s="163">
        <f t="shared" si="4"/>
        <v>0.18324902861179804</v>
      </c>
      <c r="P55" s="160">
        <f t="shared" si="20"/>
        <v>1.5397490668516334</v>
      </c>
      <c r="Q55" s="152">
        <v>48.300000000000011</v>
      </c>
      <c r="R55" s="170">
        <v>4.8729639999999996</v>
      </c>
      <c r="S55" s="165">
        <f t="shared" si="6"/>
        <v>9.4432594285714284</v>
      </c>
      <c r="T55" s="171">
        <v>0.21267242925768115</v>
      </c>
      <c r="U55" s="165">
        <f t="shared" si="7"/>
        <v>7.4032022464109171E-3</v>
      </c>
      <c r="V55" s="165">
        <f t="shared" si="8"/>
        <v>4.8140730715361445E-3</v>
      </c>
      <c r="W55" s="165">
        <f t="shared" si="9"/>
        <v>0.63252893578655012</v>
      </c>
      <c r="X55" s="160">
        <v>50</v>
      </c>
      <c r="Y55" s="160">
        <f t="shared" si="10"/>
        <v>32.47282370642143</v>
      </c>
      <c r="Z55" s="160">
        <f t="shared" si="11"/>
        <v>156.32654616182396</v>
      </c>
      <c r="AA55" s="166">
        <v>63.949999999953434</v>
      </c>
      <c r="AB55" s="167">
        <v>105.8884409708964</v>
      </c>
      <c r="AC55" s="165">
        <f t="shared" si="12"/>
        <v>20.540000621007003</v>
      </c>
      <c r="AD55" s="168">
        <f t="shared" si="13"/>
        <v>0.16246344859100442</v>
      </c>
      <c r="AE55" s="167">
        <f t="shared" si="14"/>
        <v>9.8592002980833621E-3</v>
      </c>
      <c r="AF55" s="168">
        <f t="shared" si="19"/>
        <v>101.42810469064118</v>
      </c>
      <c r="AG55" s="165">
        <f t="shared" si="15"/>
        <v>126.42844159190341</v>
      </c>
      <c r="AH55" s="165">
        <f t="shared" si="16"/>
        <v>2.1177688194179281</v>
      </c>
      <c r="AI55" s="165">
        <f t="shared" si="17"/>
        <v>0.41080001242014008</v>
      </c>
      <c r="AJ55" s="165">
        <f t="shared" si="18"/>
        <v>2.5285688318380681</v>
      </c>
    </row>
    <row r="56" spans="1:36" x14ac:dyDescent="0.3">
      <c r="A56" s="157" t="s">
        <v>7</v>
      </c>
      <c r="B56" s="152" t="s">
        <v>510</v>
      </c>
      <c r="C56" s="157" t="s">
        <v>186</v>
      </c>
      <c r="D56" s="173">
        <v>271.76731517509728</v>
      </c>
      <c r="E56" s="152"/>
      <c r="F56" s="160">
        <v>156.75593029170102</v>
      </c>
      <c r="G56" s="160">
        <f t="shared" si="0"/>
        <v>105.84655819491365</v>
      </c>
      <c r="H56" s="160">
        <f t="shared" si="1"/>
        <v>165.92075698018363</v>
      </c>
      <c r="I56" s="174">
        <v>160</v>
      </c>
      <c r="J56" s="161">
        <f t="shared" si="2"/>
        <v>325.92075698018363</v>
      </c>
      <c r="K56" s="152">
        <v>99</v>
      </c>
      <c r="L56" s="160">
        <f t="shared" si="3"/>
        <v>48.704829315383073</v>
      </c>
      <c r="M56" s="162">
        <v>0.5307311903920876</v>
      </c>
      <c r="N56" s="152">
        <v>93.600000000000023</v>
      </c>
      <c r="O56" s="163">
        <f t="shared" si="4"/>
        <v>4.9676439420699409E-2</v>
      </c>
      <c r="P56" s="160">
        <f t="shared" si="20"/>
        <v>0.46932503302773015</v>
      </c>
      <c r="Q56" s="152">
        <v>47.699999999999967</v>
      </c>
      <c r="R56" s="170">
        <v>23.894811999999998</v>
      </c>
      <c r="S56" s="165">
        <f t="shared" si="6"/>
        <v>46.88793298113211</v>
      </c>
      <c r="T56" s="171">
        <v>0.2210231326190068</v>
      </c>
      <c r="U56" s="165">
        <f t="shared" si="7"/>
        <v>1.6619297453647819E-2</v>
      </c>
      <c r="V56" s="165">
        <f t="shared" si="8"/>
        <v>5.1283018189558729E-2</v>
      </c>
      <c r="W56" s="165">
        <f t="shared" si="9"/>
        <v>7.5762847252596748</v>
      </c>
      <c r="X56" s="160">
        <v>71.873893147247102</v>
      </c>
      <c r="Y56" s="160">
        <f t="shared" si="10"/>
        <v>153.14310571411693</v>
      </c>
      <c r="Z56" s="160">
        <f t="shared" si="11"/>
        <v>7853.6406759425736</v>
      </c>
      <c r="AA56" s="166">
        <v>63.949999999953434</v>
      </c>
      <c r="AB56" s="167">
        <v>86.528990713632979</v>
      </c>
      <c r="AC56" s="165">
        <f t="shared" si="12"/>
        <v>1160.2557726006917</v>
      </c>
      <c r="AD56" s="168">
        <f t="shared" si="13"/>
        <v>0.93059829309782938</v>
      </c>
      <c r="AE56" s="167">
        <f t="shared" si="14"/>
        <v>0.38743050255213785</v>
      </c>
      <c r="AF56" s="168">
        <f t="shared" si="19"/>
        <v>2.5811080785138403</v>
      </c>
      <c r="AG56" s="165">
        <f t="shared" si="15"/>
        <v>1246.7847633143247</v>
      </c>
      <c r="AH56" s="165">
        <f t="shared" si="16"/>
        <v>1.2039001496184738</v>
      </c>
      <c r="AI56" s="165">
        <f t="shared" si="17"/>
        <v>16.142937606339075</v>
      </c>
      <c r="AJ56" s="165">
        <f t="shared" si="18"/>
        <v>17.346837755957552</v>
      </c>
    </row>
    <row r="57" spans="1:36" x14ac:dyDescent="0.3">
      <c r="A57" s="157" t="s">
        <v>8</v>
      </c>
      <c r="B57" s="152" t="s">
        <v>510</v>
      </c>
      <c r="C57" s="157" t="s">
        <v>186</v>
      </c>
      <c r="D57" s="173">
        <v>280.29966722129785</v>
      </c>
      <c r="E57" s="152"/>
      <c r="F57" s="160">
        <v>151.20188375392581</v>
      </c>
      <c r="G57" s="160">
        <f t="shared" si="0"/>
        <v>111.58342566247468</v>
      </c>
      <c r="H57" s="160">
        <f t="shared" si="1"/>
        <v>168.71624155882319</v>
      </c>
      <c r="I57" s="174">
        <v>180</v>
      </c>
      <c r="J57" s="161">
        <f t="shared" si="2"/>
        <v>348.71624155882319</v>
      </c>
      <c r="K57" s="152">
        <v>99</v>
      </c>
      <c r="L57" s="160">
        <f t="shared" si="3"/>
        <v>51.201404969760162</v>
      </c>
      <c r="M57" s="162">
        <v>0.46773813728953256</v>
      </c>
      <c r="N57" s="152">
        <v>94.600000000000122</v>
      </c>
      <c r="O57" s="163">
        <f t="shared" si="4"/>
        <v>4.4248027787589843E-2</v>
      </c>
      <c r="P57" s="160">
        <f t="shared" si="20"/>
        <v>0.39654659753352939</v>
      </c>
      <c r="Q57" s="152">
        <v>48.799999999999955</v>
      </c>
      <c r="R57" s="170">
        <v>20.899715999999998</v>
      </c>
      <c r="S57" s="165">
        <f t="shared" si="6"/>
        <v>40.514613393442708</v>
      </c>
      <c r="T57" s="171">
        <v>0.20602347252144954</v>
      </c>
      <c r="U57" s="165">
        <f>T57-T113</f>
        <v>-1.1840171866533966E-5</v>
      </c>
      <c r="V57" s="165">
        <f t="shared" si="8"/>
        <v>-3.0030300741401318E-5</v>
      </c>
      <c r="W57" s="165">
        <f t="shared" si="9"/>
        <v>-4.2084235515404194E-3</v>
      </c>
      <c r="X57" s="160">
        <v>50</v>
      </c>
      <c r="Y57" s="160">
        <f t="shared" si="10"/>
        <v>126.08858658980759</v>
      </c>
      <c r="Z57" s="160">
        <f t="shared" si="11"/>
        <v>-3.7864781753501431</v>
      </c>
      <c r="AA57" s="166">
        <v>63.949999999953434</v>
      </c>
      <c r="AB57" s="167">
        <v>94.754714766302385</v>
      </c>
      <c r="AC57" s="165"/>
      <c r="AD57" s="168"/>
      <c r="AE57" s="167">
        <f t="shared" si="14"/>
        <v>-2.5470440514479512E-4</v>
      </c>
      <c r="AF57" s="168">
        <f t="shared" si="19"/>
        <v>-3926.1197678599906</v>
      </c>
      <c r="AG57" s="165">
        <f t="shared" si="15"/>
        <v>94.754714766302385</v>
      </c>
      <c r="AH57" s="165">
        <f t="shared" si="16"/>
        <v>1.8950942953260477</v>
      </c>
      <c r="AI57" s="165">
        <f t="shared" si="17"/>
        <v>0</v>
      </c>
      <c r="AJ57" s="165">
        <f t="shared" si="18"/>
        <v>1.8950942953260477</v>
      </c>
    </row>
    <row r="58" spans="1:36" x14ac:dyDescent="0.3">
      <c r="A58" s="157" t="s">
        <v>12</v>
      </c>
      <c r="B58" s="152" t="s">
        <v>510</v>
      </c>
      <c r="C58" s="157" t="s">
        <v>186</v>
      </c>
      <c r="D58" s="173">
        <v>310.12060003821892</v>
      </c>
      <c r="E58" s="152"/>
      <c r="F58" s="160">
        <v>153.19529114988435</v>
      </c>
      <c r="G58" s="160">
        <f t="shared" si="0"/>
        <v>122.48276760196003</v>
      </c>
      <c r="H58" s="160">
        <f t="shared" si="1"/>
        <v>187.63783243625889</v>
      </c>
      <c r="I58" s="174">
        <v>160</v>
      </c>
      <c r="J58" s="161">
        <f t="shared" si="2"/>
        <v>347.63783243625892</v>
      </c>
      <c r="K58" s="152">
        <v>99</v>
      </c>
      <c r="L58" s="160">
        <f t="shared" si="3"/>
        <v>45.676457288689477</v>
      </c>
      <c r="M58" s="162">
        <v>1.3004827505004122</v>
      </c>
      <c r="N58" s="152">
        <v>97.600000000000023</v>
      </c>
      <c r="O58" s="163">
        <f t="shared" si="4"/>
        <v>0.12692711644884025</v>
      </c>
      <c r="P58" s="160">
        <f t="shared" si="20"/>
        <v>1.0362855031274547</v>
      </c>
      <c r="Q58" s="152">
        <v>48.19999999999991</v>
      </c>
      <c r="R58" s="170">
        <v>11.190019999999999</v>
      </c>
      <c r="S58" s="165">
        <f t="shared" si="6"/>
        <v>22.658629709543611</v>
      </c>
      <c r="T58" s="171">
        <v>0.20822548843765348</v>
      </c>
      <c r="U58" s="165">
        <f t="shared" si="7"/>
        <v>1.0998533631197127E-3</v>
      </c>
      <c r="V58" s="165">
        <f t="shared" si="8"/>
        <v>1.7488311137318683E-3</v>
      </c>
      <c r="W58" s="165">
        <f t="shared" si="9"/>
        <v>0.22327100713629039</v>
      </c>
      <c r="X58" s="160">
        <v>347.8292661145494</v>
      </c>
      <c r="Y58" s="160">
        <f t="shared" si="10"/>
        <v>335.65003569462192</v>
      </c>
      <c r="Z58" s="160">
        <f t="shared" si="11"/>
        <v>586.99522574796708</v>
      </c>
      <c r="AA58" s="166">
        <v>63.949999999953434</v>
      </c>
      <c r="AB58" s="167">
        <v>72.546412585827724</v>
      </c>
      <c r="AC58" s="165">
        <f t="shared" si="12"/>
        <v>74.940921514870055</v>
      </c>
      <c r="AD58" s="168">
        <f t="shared" si="13"/>
        <v>0.50811767648945183</v>
      </c>
      <c r="AE58" s="167">
        <f t="shared" si="14"/>
        <v>5.1708763223062455E-3</v>
      </c>
      <c r="AF58" s="168">
        <f t="shared" si="19"/>
        <v>193.39081766202315</v>
      </c>
      <c r="AG58" s="165">
        <f t="shared" si="15"/>
        <v>147.48733410069778</v>
      </c>
      <c r="AH58" s="165">
        <f t="shared" si="16"/>
        <v>0.20856902984677622</v>
      </c>
      <c r="AI58" s="165">
        <f t="shared" si="17"/>
        <v>0.21545318009609354</v>
      </c>
      <c r="AJ58" s="165">
        <f t="shared" si="18"/>
        <v>0.42402220994286977</v>
      </c>
    </row>
    <row r="59" spans="1:36" x14ac:dyDescent="0.3">
      <c r="A59" s="157" t="s">
        <v>13</v>
      </c>
      <c r="B59" s="152" t="s">
        <v>510</v>
      </c>
      <c r="C59" s="157" t="s">
        <v>186</v>
      </c>
      <c r="D59" s="173">
        <v>285.8602150537634</v>
      </c>
      <c r="E59" s="152"/>
      <c r="F59" s="160">
        <v>149.87583827749776</v>
      </c>
      <c r="G59" s="160">
        <f t="shared" si="0"/>
        <v>114.40090287413202</v>
      </c>
      <c r="H59" s="160">
        <f t="shared" si="1"/>
        <v>171.45931217963138</v>
      </c>
      <c r="I59" s="174">
        <v>154</v>
      </c>
      <c r="J59" s="161">
        <f t="shared" si="2"/>
        <v>325.45931217963141</v>
      </c>
      <c r="K59" s="152">
        <v>99</v>
      </c>
      <c r="L59" s="160">
        <f t="shared" si="3"/>
        <v>46.952385220955925</v>
      </c>
      <c r="M59" s="162">
        <v>1.6601907453196751</v>
      </c>
      <c r="N59" s="152">
        <v>95.8</v>
      </c>
      <c r="O59" s="163">
        <f t="shared" si="4"/>
        <v>0.15904627340162489</v>
      </c>
      <c r="P59" s="160">
        <f t="shared" si="20"/>
        <v>1.3902536553982736</v>
      </c>
      <c r="Q59" s="152">
        <v>49.300000000000011</v>
      </c>
      <c r="R59" s="170">
        <v>5.3786360000000002</v>
      </c>
      <c r="S59" s="165">
        <f t="shared" si="6"/>
        <v>10.451791659229208</v>
      </c>
      <c r="T59" s="171">
        <v>0.2082470906027768</v>
      </c>
      <c r="U59" s="165">
        <f t="shared" si="7"/>
        <v>3.5862952261870584E-3</v>
      </c>
      <c r="V59" s="165">
        <f t="shared" si="8"/>
        <v>2.558886227041624E-3</v>
      </c>
      <c r="W59" s="165">
        <f t="shared" si="9"/>
        <v>0.34976872663530212</v>
      </c>
      <c r="X59" s="160">
        <v>233.36973327872101</v>
      </c>
      <c r="Y59" s="160">
        <f t="shared" si="10"/>
        <v>167.86126213195701</v>
      </c>
      <c r="Z59" s="160">
        <f t="shared" si="11"/>
        <v>429.5378717232885</v>
      </c>
      <c r="AA59" s="166">
        <v>63.949999999953434</v>
      </c>
      <c r="AB59" s="167">
        <v>70.148216877676077</v>
      </c>
      <c r="AC59" s="165">
        <f t="shared" si="12"/>
        <v>58.712619907289266</v>
      </c>
      <c r="AD59" s="168">
        <f t="shared" si="13"/>
        <v>0.45562811302603218</v>
      </c>
      <c r="AE59" s="167">
        <f t="shared" si="14"/>
        <v>6.0380703957526715E-3</v>
      </c>
      <c r="AF59" s="168">
        <f t="shared" si="19"/>
        <v>165.61582334373327</v>
      </c>
      <c r="AG59" s="165">
        <f t="shared" si="15"/>
        <v>128.86083678496533</v>
      </c>
      <c r="AH59" s="165">
        <f t="shared" si="16"/>
        <v>0.30058832348193071</v>
      </c>
      <c r="AI59" s="165">
        <f t="shared" si="17"/>
        <v>0.25158626648969462</v>
      </c>
      <c r="AJ59" s="165">
        <f t="shared" si="18"/>
        <v>0.55217458997162527</v>
      </c>
    </row>
    <row r="60" spans="1:36" x14ac:dyDescent="0.3">
      <c r="A60" s="157" t="s">
        <v>17</v>
      </c>
      <c r="B60" s="152" t="s">
        <v>510</v>
      </c>
      <c r="C60" s="157" t="s">
        <v>186</v>
      </c>
      <c r="D60" s="173">
        <v>284.96395233366434</v>
      </c>
      <c r="E60" s="152"/>
      <c r="F60" s="160">
        <v>149.55449731320658</v>
      </c>
      <c r="G60" s="160">
        <f t="shared" si="0"/>
        <v>114.18906707820884</v>
      </c>
      <c r="H60" s="160">
        <f t="shared" si="1"/>
        <v>170.7748852554555</v>
      </c>
      <c r="I60" s="174">
        <v>142</v>
      </c>
      <c r="J60" s="161">
        <f t="shared" si="2"/>
        <v>312.7748852554555</v>
      </c>
      <c r="K60" s="152">
        <v>99</v>
      </c>
      <c r="L60" s="160">
        <f t="shared" si="3"/>
        <v>45.057240845925129</v>
      </c>
      <c r="M60" s="162">
        <v>0.90633462851760282</v>
      </c>
      <c r="N60" s="152">
        <v>95.900000000000091</v>
      </c>
      <c r="O60" s="163">
        <f t="shared" si="4"/>
        <v>8.6917490874838188E-2</v>
      </c>
      <c r="P60" s="160">
        <f t="shared" si="20"/>
        <v>0.76117173998197074</v>
      </c>
      <c r="Q60" s="152">
        <v>48.500000000000099</v>
      </c>
      <c r="R60" s="170">
        <v>13.462939999999998</v>
      </c>
      <c r="S60" s="165">
        <f t="shared" si="6"/>
        <v>26.620534969072132</v>
      </c>
      <c r="T60" s="171">
        <v>0.21348741644433178</v>
      </c>
      <c r="U60" s="165">
        <f t="shared" si="7"/>
        <v>9.8665183266781198E-3</v>
      </c>
      <c r="V60" s="165">
        <f t="shared" si="8"/>
        <v>1.8684779044679058E-2</v>
      </c>
      <c r="W60" s="165">
        <f t="shared" si="9"/>
        <v>2.5587207607727134</v>
      </c>
      <c r="X60" s="160">
        <v>139.05148923148658</v>
      </c>
      <c r="Y60" s="160">
        <f t="shared" si="10"/>
        <v>182.68083525378935</v>
      </c>
      <c r="Z60" s="160">
        <f t="shared" si="11"/>
        <v>3413.3510424144706</v>
      </c>
      <c r="AA60" s="166">
        <v>63.949999999953434</v>
      </c>
      <c r="AB60" s="167">
        <v>41.96218808950016</v>
      </c>
      <c r="AC60" s="165">
        <f t="shared" si="12"/>
        <v>467.42924575917061</v>
      </c>
      <c r="AD60" s="168">
        <f t="shared" si="13"/>
        <v>0.91762290195487228</v>
      </c>
      <c r="AE60" s="167">
        <f t="shared" si="14"/>
        <v>8.0677322912697289E-2</v>
      </c>
      <c r="AF60" s="168">
        <f t="shared" si="19"/>
        <v>12.395056800312053</v>
      </c>
      <c r="AG60" s="165">
        <f t="shared" si="15"/>
        <v>509.39143384867077</v>
      </c>
      <c r="AH60" s="165">
        <f t="shared" si="16"/>
        <v>0.30177446010407999</v>
      </c>
      <c r="AI60" s="165">
        <f t="shared" si="17"/>
        <v>3.3615551213623878</v>
      </c>
      <c r="AJ60" s="165">
        <f t="shared" si="18"/>
        <v>3.6633295814664675</v>
      </c>
    </row>
    <row r="61" spans="1:36" x14ac:dyDescent="0.3">
      <c r="A61" s="157" t="s">
        <v>23</v>
      </c>
      <c r="B61" s="152" t="s">
        <v>510</v>
      </c>
      <c r="C61" s="157" t="s">
        <v>186</v>
      </c>
      <c r="D61" s="173">
        <v>265.12608695652176</v>
      </c>
      <c r="E61" s="152"/>
      <c r="F61" s="160">
        <v>152.54159967941041</v>
      </c>
      <c r="G61" s="160">
        <f t="shared" si="0"/>
        <v>104.98313437987515</v>
      </c>
      <c r="H61" s="160">
        <f t="shared" si="1"/>
        <v>160.14295257664662</v>
      </c>
      <c r="I61" s="174">
        <v>145</v>
      </c>
      <c r="J61" s="161">
        <f t="shared" si="2"/>
        <v>305.14295257664662</v>
      </c>
      <c r="K61" s="152">
        <v>99</v>
      </c>
      <c r="L61" s="160">
        <f t="shared" si="3"/>
        <v>47.150698081314395</v>
      </c>
      <c r="M61" s="162">
        <v>0.85423289768044275</v>
      </c>
      <c r="N61" s="152">
        <v>97.400000000000048</v>
      </c>
      <c r="O61" s="163">
        <f t="shared" si="4"/>
        <v>8.3202284234075163E-2</v>
      </c>
      <c r="P61" s="160">
        <f t="shared" si="20"/>
        <v>0.79253000708678312</v>
      </c>
      <c r="Q61" s="152">
        <v>46.4</v>
      </c>
      <c r="R61" s="170">
        <v>7.9283239999999982</v>
      </c>
      <c r="S61" s="165">
        <f t="shared" si="6"/>
        <v>16.642645637931039</v>
      </c>
      <c r="T61" s="171">
        <v>0.21159095144621706</v>
      </c>
      <c r="U61" s="165">
        <f t="shared" si="7"/>
        <v>7.3782274011171822E-3</v>
      </c>
      <c r="V61" s="165">
        <f t="shared" si="8"/>
        <v>8.3475327117969352E-3</v>
      </c>
      <c r="W61" s="165">
        <f t="shared" si="9"/>
        <v>1.2433633045550989</v>
      </c>
      <c r="X61" s="160">
        <v>256.61956661817845</v>
      </c>
      <c r="Y61" s="160">
        <f t="shared" si="10"/>
        <v>323.79791846806154</v>
      </c>
      <c r="Z61" s="160">
        <f t="shared" si="11"/>
        <v>2702.913716423901</v>
      </c>
      <c r="AA61" s="166">
        <v>63.949999999953434</v>
      </c>
      <c r="AB61" s="167">
        <v>67.098564414621634</v>
      </c>
      <c r="AC61" s="165">
        <f t="shared" si="12"/>
        <v>402.59844991451149</v>
      </c>
      <c r="AD61" s="168">
        <f t="shared" si="13"/>
        <v>0.85714500546600592</v>
      </c>
      <c r="AE61" s="167">
        <f t="shared" si="14"/>
        <v>3.7652478824129587E-2</v>
      </c>
      <c r="AF61" s="168">
        <f t="shared" si="19"/>
        <v>26.558676380136493</v>
      </c>
      <c r="AG61" s="165">
        <f t="shared" si="15"/>
        <v>469.69701432913314</v>
      </c>
      <c r="AH61" s="165">
        <f t="shared" si="16"/>
        <v>0.26147095990718777</v>
      </c>
      <c r="AI61" s="165">
        <f t="shared" si="17"/>
        <v>1.5688532843387328</v>
      </c>
      <c r="AJ61" s="165">
        <f t="shared" si="18"/>
        <v>1.8303242442459207</v>
      </c>
    </row>
    <row r="62" spans="1:36" x14ac:dyDescent="0.3">
      <c r="A62" s="157" t="s">
        <v>21</v>
      </c>
      <c r="B62" s="152" t="s">
        <v>510</v>
      </c>
      <c r="C62" s="157" t="s">
        <v>186</v>
      </c>
      <c r="D62" s="173">
        <v>269.29693251533735</v>
      </c>
      <c r="E62" s="152"/>
      <c r="F62" s="160">
        <v>155.18357412076412</v>
      </c>
      <c r="G62" s="160">
        <f t="shared" si="0"/>
        <v>105.53066883054713</v>
      </c>
      <c r="H62" s="160">
        <f t="shared" si="1"/>
        <v>163.7662636847902</v>
      </c>
      <c r="I62" s="174">
        <v>164</v>
      </c>
      <c r="J62" s="161">
        <f t="shared" si="2"/>
        <v>327.7662636847902</v>
      </c>
      <c r="K62" s="152">
        <v>99</v>
      </c>
      <c r="L62" s="160">
        <f t="shared" si="3"/>
        <v>49.637904295456323</v>
      </c>
      <c r="M62" s="162">
        <v>1.2504415400918405</v>
      </c>
      <c r="N62" s="152">
        <v>95.599999999999909</v>
      </c>
      <c r="O62" s="163">
        <f t="shared" si="4"/>
        <v>0.11954221123277983</v>
      </c>
      <c r="P62" s="160">
        <f t="shared" si="20"/>
        <v>1.1327722315939392</v>
      </c>
      <c r="Q62" s="152">
        <v>48.300000000000118</v>
      </c>
      <c r="R62" s="170">
        <v>8.4057239999999993</v>
      </c>
      <c r="S62" s="165">
        <f t="shared" si="6"/>
        <v>16.637416447204913</v>
      </c>
      <c r="T62" s="171">
        <v>0.20770599509225746</v>
      </c>
      <c r="U62" s="165">
        <f t="shared" si="7"/>
        <v>2.3497311815957878E-3</v>
      </c>
      <c r="V62" s="165">
        <f t="shared" si="8"/>
        <v>2.5244250697030084E-3</v>
      </c>
      <c r="W62" s="165">
        <f t="shared" si="9"/>
        <v>0.37406170150266832</v>
      </c>
      <c r="X62" s="160">
        <v>53.160860472836191</v>
      </c>
      <c r="Y62" s="160">
        <f t="shared" si="10"/>
        <v>46.929876095243628</v>
      </c>
      <c r="Z62" s="160">
        <f t="shared" si="11"/>
        <v>118.47095573288895</v>
      </c>
      <c r="AA62" s="166">
        <v>63.949999999953434</v>
      </c>
      <c r="AB62" s="167">
        <v>65.995576735550756</v>
      </c>
      <c r="AC62" s="165">
        <f t="shared" si="12"/>
        <v>17.554669303496237</v>
      </c>
      <c r="AD62" s="168">
        <f t="shared" si="13"/>
        <v>0.21010912756967953</v>
      </c>
      <c r="AE62" s="167">
        <f t="shared" si="14"/>
        <v>7.92523032051351E-3</v>
      </c>
      <c r="AF62" s="168">
        <f t="shared" si="19"/>
        <v>126.17929821062988</v>
      </c>
      <c r="AG62" s="165">
        <f t="shared" si="15"/>
        <v>83.550246039046996</v>
      </c>
      <c r="AH62" s="165">
        <f t="shared" si="16"/>
        <v>1.2414316876844529</v>
      </c>
      <c r="AI62" s="165">
        <f t="shared" si="17"/>
        <v>0.33021793002139638</v>
      </c>
      <c r="AJ62" s="165">
        <f t="shared" si="18"/>
        <v>1.5716496177058494</v>
      </c>
    </row>
    <row r="63" spans="1:36" x14ac:dyDescent="0.3">
      <c r="A63" s="157" t="s">
        <v>22</v>
      </c>
      <c r="B63" s="152" t="s">
        <v>510</v>
      </c>
      <c r="C63" s="157" t="s">
        <v>186</v>
      </c>
      <c r="D63" s="173">
        <v>300.88417898521766</v>
      </c>
      <c r="E63" s="152"/>
      <c r="F63" s="160">
        <v>156.58599959493571</v>
      </c>
      <c r="G63" s="160">
        <f t="shared" si="0"/>
        <v>117.26445693070319</v>
      </c>
      <c r="H63" s="160">
        <f t="shared" si="1"/>
        <v>183.61972205451445</v>
      </c>
      <c r="I63" s="174">
        <v>140</v>
      </c>
      <c r="J63" s="161">
        <f t="shared" si="2"/>
        <v>323.61972205451445</v>
      </c>
      <c r="K63" s="152">
        <v>99</v>
      </c>
      <c r="L63" s="160">
        <f t="shared" si="3"/>
        <v>42.944618142536918</v>
      </c>
      <c r="M63" s="162">
        <v>1.4373601789709174</v>
      </c>
      <c r="N63" s="152">
        <v>96.8</v>
      </c>
      <c r="O63" s="163">
        <f t="shared" si="4"/>
        <v>0.13913646532438481</v>
      </c>
      <c r="P63" s="160">
        <f t="shared" si="20"/>
        <v>1.1865186516542414</v>
      </c>
      <c r="Q63" s="152">
        <v>48.700000000000074</v>
      </c>
      <c r="R63" s="170">
        <v>5.417819999999999</v>
      </c>
      <c r="S63" s="165">
        <f t="shared" si="6"/>
        <v>10.768890677618051</v>
      </c>
      <c r="T63" s="171">
        <v>0.20707578278968025</v>
      </c>
      <c r="U63" s="165">
        <f>T63-T119</f>
        <v>1.6218881701500487E-3</v>
      </c>
      <c r="V63" s="165">
        <f t="shared" si="8"/>
        <v>1.3036319118130764E-3</v>
      </c>
      <c r="W63" s="165">
        <f t="shared" si="9"/>
        <v>0.17383932926709245</v>
      </c>
      <c r="X63" s="160">
        <v>50</v>
      </c>
      <c r="Y63" s="160">
        <f t="shared" si="10"/>
        <v>42.140087667640216</v>
      </c>
      <c r="Z63" s="160">
        <f t="shared" si="11"/>
        <v>54.93516305013646</v>
      </c>
      <c r="AA63" s="166">
        <v>63.949999999953434</v>
      </c>
      <c r="AB63" s="167">
        <v>54.881669381973587</v>
      </c>
      <c r="AC63" s="165">
        <f t="shared" si="12"/>
        <v>7.3256045753990495</v>
      </c>
      <c r="AD63" s="168">
        <f t="shared" si="13"/>
        <v>0.11776122162850119</v>
      </c>
      <c r="AE63" s="167">
        <f t="shared" si="14"/>
        <v>3.5162901961915448E-3</v>
      </c>
      <c r="AF63" s="168">
        <f t="shared" si="19"/>
        <v>284.39063450539123</v>
      </c>
      <c r="AG63" s="165">
        <f t="shared" si="15"/>
        <v>62.207273957372635</v>
      </c>
      <c r="AH63" s="165">
        <f t="shared" si="16"/>
        <v>1.0976333876394717</v>
      </c>
      <c r="AI63" s="165">
        <f t="shared" si="17"/>
        <v>0.146512091507981</v>
      </c>
      <c r="AJ63" s="165">
        <f t="shared" si="18"/>
        <v>1.2441454791474527</v>
      </c>
    </row>
    <row r="64" spans="1:36" x14ac:dyDescent="0.3">
      <c r="A64" s="175" t="s">
        <v>4</v>
      </c>
      <c r="B64" s="176" t="s">
        <v>511</v>
      </c>
      <c r="C64" s="175" t="s">
        <v>185</v>
      </c>
      <c r="D64" s="177">
        <v>350.3</v>
      </c>
      <c r="E64" s="149"/>
      <c r="F64" s="178">
        <v>151.79258823636559</v>
      </c>
      <c r="G64" s="178">
        <f t="shared" si="0"/>
        <v>139.12244298118992</v>
      </c>
      <c r="H64" s="178">
        <f t="shared" si="1"/>
        <v>211.17755701881009</v>
      </c>
      <c r="I64" s="149">
        <v>150</v>
      </c>
      <c r="J64" s="179">
        <f t="shared" si="2"/>
        <v>361.17755701881009</v>
      </c>
      <c r="K64" s="149"/>
      <c r="L64" s="149"/>
      <c r="M64" s="180">
        <v>32.091237579042456</v>
      </c>
      <c r="N64" s="149">
        <v>92.700000000000117</v>
      </c>
      <c r="O64" s="181">
        <f t="shared" si="4"/>
        <v>2.9748577235772395</v>
      </c>
      <c r="P64" s="178">
        <f t="shared" si="20"/>
        <v>21.383018151711553</v>
      </c>
      <c r="Q64" s="149">
        <v>45.000000000000149</v>
      </c>
      <c r="R64" s="164">
        <v>5.3983384000000001</v>
      </c>
      <c r="S64" s="182">
        <f t="shared" si="6"/>
        <v>11.120577103999977</v>
      </c>
      <c r="T64" s="165">
        <v>0.21721887973756854</v>
      </c>
      <c r="U64" s="149"/>
      <c r="V64" s="149"/>
      <c r="W64" s="149"/>
      <c r="X64" s="149"/>
      <c r="Y64" s="149"/>
      <c r="Z64" s="149"/>
      <c r="AA64" s="183">
        <v>47.966666666558012</v>
      </c>
      <c r="AB64" s="149"/>
      <c r="AC64" s="149"/>
      <c r="AD64" s="184"/>
      <c r="AE64" s="148"/>
      <c r="AF64" s="149"/>
      <c r="AG64" s="149"/>
      <c r="AH64" s="149"/>
      <c r="AI64" s="149"/>
      <c r="AJ64" s="149"/>
    </row>
    <row r="65" spans="1:36" x14ac:dyDescent="0.3">
      <c r="A65" s="157" t="s">
        <v>5</v>
      </c>
      <c r="B65" s="152" t="s">
        <v>511</v>
      </c>
      <c r="C65" s="157" t="s">
        <v>185</v>
      </c>
      <c r="D65" s="159">
        <v>354.6</v>
      </c>
      <c r="E65" s="152"/>
      <c r="F65" s="160">
        <v>150.89581655117073</v>
      </c>
      <c r="G65" s="160">
        <f t="shared" si="0"/>
        <v>141.33356421575832</v>
      </c>
      <c r="H65" s="160">
        <f t="shared" si="1"/>
        <v>213.26643578424171</v>
      </c>
      <c r="I65" s="152">
        <v>150</v>
      </c>
      <c r="J65" s="161">
        <f t="shared" si="2"/>
        <v>363.26643578424171</v>
      </c>
      <c r="K65" s="152"/>
      <c r="L65" s="152"/>
      <c r="M65" s="162">
        <v>1.6361788617886179</v>
      </c>
      <c r="N65" s="152">
        <v>98.399999999999935</v>
      </c>
      <c r="O65" s="163">
        <f t="shared" si="4"/>
        <v>0.16099999999999989</v>
      </c>
      <c r="P65" s="160">
        <f t="shared" si="20"/>
        <v>1.1391490824799337</v>
      </c>
      <c r="Q65" s="152">
        <v>47.299999999999898</v>
      </c>
      <c r="R65" s="170">
        <v>5.5128039999999991</v>
      </c>
      <c r="S65" s="165">
        <f t="shared" si="6"/>
        <v>11.468497116279085</v>
      </c>
      <c r="T65" s="171">
        <v>0.20637410659616512</v>
      </c>
      <c r="U65" s="152"/>
      <c r="V65" s="152"/>
      <c r="W65" s="152"/>
      <c r="X65" s="152"/>
      <c r="Y65" s="152"/>
      <c r="Z65" s="152"/>
      <c r="AA65" s="166">
        <v>47.966666666558012</v>
      </c>
      <c r="AB65" s="152"/>
      <c r="AC65" s="152"/>
      <c r="AD65" s="185"/>
      <c r="AE65" s="153"/>
      <c r="AF65" s="152"/>
      <c r="AG65" s="152"/>
      <c r="AH65" s="152"/>
      <c r="AI65" s="152"/>
      <c r="AJ65" s="152"/>
    </row>
    <row r="66" spans="1:36" x14ac:dyDescent="0.3">
      <c r="A66" s="157" t="s">
        <v>6</v>
      </c>
      <c r="B66" s="152" t="s">
        <v>511</v>
      </c>
      <c r="C66" s="157" t="s">
        <v>185</v>
      </c>
      <c r="D66" s="159">
        <v>355.4</v>
      </c>
      <c r="E66" s="152"/>
      <c r="F66" s="160">
        <v>152.98493196155002</v>
      </c>
      <c r="G66" s="160">
        <f t="shared" si="0"/>
        <v>140.48267509229188</v>
      </c>
      <c r="H66" s="160">
        <f t="shared" si="1"/>
        <v>214.91732490770809</v>
      </c>
      <c r="I66" s="152">
        <v>150</v>
      </c>
      <c r="J66" s="161">
        <f t="shared" si="2"/>
        <v>364.91732490770812</v>
      </c>
      <c r="K66" s="152"/>
      <c r="L66" s="152"/>
      <c r="M66" s="162">
        <v>0.88809846431797645</v>
      </c>
      <c r="N66" s="152">
        <v>91.199999999999946</v>
      </c>
      <c r="O66" s="163">
        <f t="shared" si="4"/>
        <v>8.0994579945799408E-2</v>
      </c>
      <c r="P66" s="160">
        <f t="shared" si="20"/>
        <v>0.57654497177384312</v>
      </c>
      <c r="Q66" s="152">
        <v>45.899999999999942</v>
      </c>
      <c r="R66" s="164">
        <v>24.751972700000003</v>
      </c>
      <c r="S66" s="165">
        <f t="shared" si="6"/>
        <v>49.180390201307226</v>
      </c>
      <c r="T66" s="165">
        <v>0.208006364408481</v>
      </c>
      <c r="U66" s="165"/>
      <c r="V66" s="152"/>
      <c r="W66" s="152"/>
      <c r="X66" s="152"/>
      <c r="Y66" s="152"/>
      <c r="Z66" s="152"/>
      <c r="AA66" s="166">
        <v>47.966666666558012</v>
      </c>
      <c r="AB66" s="152"/>
      <c r="AC66" s="152"/>
      <c r="AD66" s="185"/>
      <c r="AE66" s="153"/>
      <c r="AF66" s="152"/>
      <c r="AG66" s="152"/>
      <c r="AH66" s="152"/>
      <c r="AI66" s="152"/>
      <c r="AJ66" s="152"/>
    </row>
    <row r="67" spans="1:36" x14ac:dyDescent="0.3">
      <c r="A67" s="157" t="s">
        <v>7</v>
      </c>
      <c r="B67" s="152" t="s">
        <v>511</v>
      </c>
      <c r="C67" s="157" t="s">
        <v>185</v>
      </c>
      <c r="D67" s="159">
        <v>352.9</v>
      </c>
      <c r="E67" s="152"/>
      <c r="F67" s="160">
        <v>156.56928467890333</v>
      </c>
      <c r="G67" s="160">
        <f t="shared" si="0"/>
        <v>137.54569275182516</v>
      </c>
      <c r="H67" s="160">
        <f t="shared" si="1"/>
        <v>215.35430724817482</v>
      </c>
      <c r="I67" s="152">
        <v>150</v>
      </c>
      <c r="J67" s="161">
        <f t="shared" si="2"/>
        <v>365.35430724817479</v>
      </c>
      <c r="K67" s="152"/>
      <c r="L67" s="152"/>
      <c r="M67" s="162">
        <v>2.2606142728093945</v>
      </c>
      <c r="N67" s="152">
        <v>93.600000000000023</v>
      </c>
      <c r="O67" s="163">
        <f t="shared" si="4"/>
        <v>0.21159349593495938</v>
      </c>
      <c r="P67" s="160">
        <f t="shared" si="20"/>
        <v>1.5383505779184179</v>
      </c>
      <c r="Q67" s="152">
        <v>46.200000000000017</v>
      </c>
      <c r="R67" s="170">
        <v>11.407019999999999</v>
      </c>
      <c r="S67" s="165">
        <f t="shared" si="6"/>
        <v>23.11032623376623</v>
      </c>
      <c r="T67" s="171">
        <v>0.20468489182004615</v>
      </c>
      <c r="U67" s="165"/>
      <c r="V67" s="152"/>
      <c r="W67" s="186"/>
      <c r="X67" s="152"/>
      <c r="Y67" s="152"/>
      <c r="Z67" s="152"/>
      <c r="AA67" s="166">
        <v>47.966666666558012</v>
      </c>
      <c r="AB67" s="152"/>
      <c r="AC67" s="152"/>
      <c r="AD67" s="185"/>
      <c r="AE67" s="153"/>
      <c r="AF67" s="152"/>
      <c r="AG67" s="152"/>
      <c r="AH67" s="152"/>
      <c r="AI67" s="152"/>
      <c r="AJ67" s="152"/>
    </row>
    <row r="68" spans="1:36" x14ac:dyDescent="0.3">
      <c r="A68" s="157" t="s">
        <v>8</v>
      </c>
      <c r="B68" s="152" t="s">
        <v>511</v>
      </c>
      <c r="C68" s="157" t="s">
        <v>185</v>
      </c>
      <c r="D68" s="159">
        <v>349.4</v>
      </c>
      <c r="E68" s="152"/>
      <c r="F68" s="160">
        <v>151.08375068999621</v>
      </c>
      <c r="G68" s="160">
        <f t="shared" si="0"/>
        <v>139.15675508264619</v>
      </c>
      <c r="H68" s="160">
        <f t="shared" si="1"/>
        <v>210.24324491735379</v>
      </c>
      <c r="I68" s="152">
        <v>150</v>
      </c>
      <c r="J68" s="161">
        <f t="shared" si="2"/>
        <v>360.24324491735376</v>
      </c>
      <c r="K68" s="152"/>
      <c r="L68" s="152"/>
      <c r="M68" s="162">
        <v>1.4538166214995483</v>
      </c>
      <c r="N68" s="152">
        <v>93.400000000000034</v>
      </c>
      <c r="O68" s="163">
        <f t="shared" si="4"/>
        <v>0.13578647244805786</v>
      </c>
      <c r="P68" s="160">
        <f t="shared" si="20"/>
        <v>0.97578067530687462</v>
      </c>
      <c r="Q68" s="152">
        <v>46.599999999999973</v>
      </c>
      <c r="R68" s="170">
        <v>6.1186679999999996</v>
      </c>
      <c r="S68" s="165">
        <f t="shared" si="6"/>
        <v>12.263596377682415</v>
      </c>
      <c r="T68" s="171">
        <v>0.20694886695634532</v>
      </c>
      <c r="U68" s="152"/>
      <c r="V68" s="152"/>
      <c r="W68" s="186"/>
      <c r="X68" s="152"/>
      <c r="Y68" s="152"/>
      <c r="Z68" s="152"/>
      <c r="AA68" s="166">
        <v>47.966666666558012</v>
      </c>
      <c r="AB68" s="152"/>
      <c r="AC68" s="152"/>
      <c r="AD68" s="185"/>
      <c r="AE68" s="153"/>
      <c r="AF68" s="152"/>
      <c r="AG68" s="152"/>
      <c r="AH68" s="152"/>
      <c r="AI68" s="152"/>
      <c r="AJ68" s="152"/>
    </row>
    <row r="69" spans="1:36" x14ac:dyDescent="0.3">
      <c r="A69" s="157" t="s">
        <v>9</v>
      </c>
      <c r="B69" s="152" t="s">
        <v>511</v>
      </c>
      <c r="C69" s="157" t="s">
        <v>185</v>
      </c>
      <c r="D69" s="159">
        <v>355.9</v>
      </c>
      <c r="E69" s="152"/>
      <c r="F69" s="160">
        <v>150.79123646674034</v>
      </c>
      <c r="G69" s="160">
        <f t="shared" si="0"/>
        <v>141.91085981076498</v>
      </c>
      <c r="H69" s="160">
        <f t="shared" si="1"/>
        <v>213.989140189235</v>
      </c>
      <c r="I69" s="152">
        <v>150</v>
      </c>
      <c r="J69" s="161">
        <f t="shared" si="2"/>
        <v>363.989140189235</v>
      </c>
      <c r="K69" s="152"/>
      <c r="L69" s="152"/>
      <c r="M69" s="162">
        <v>1.8270099367660342</v>
      </c>
      <c r="N69" s="152">
        <v>90.7</v>
      </c>
      <c r="O69" s="163">
        <f t="shared" si="4"/>
        <v>0.1657098012646793</v>
      </c>
      <c r="P69" s="160">
        <f t="shared" si="20"/>
        <v>1.1677034547296077</v>
      </c>
      <c r="Q69" s="152">
        <f>46.1000000000001-5</f>
        <v>41.100000000000101</v>
      </c>
      <c r="R69" s="170">
        <v>7.2376439999999995</v>
      </c>
      <c r="S69" s="165">
        <f t="shared" si="6"/>
        <v>15.972124350364926</v>
      </c>
      <c r="T69" s="171">
        <v>0.20546573492655359</v>
      </c>
      <c r="U69" s="152"/>
      <c r="V69" s="152"/>
      <c r="W69" s="186"/>
      <c r="X69" s="152"/>
      <c r="Y69" s="152"/>
      <c r="Z69" s="152"/>
      <c r="AA69" s="166">
        <v>47.966666666558012</v>
      </c>
      <c r="AB69" s="152"/>
      <c r="AC69" s="152"/>
      <c r="AD69" s="185"/>
      <c r="AE69" s="153"/>
      <c r="AF69" s="152"/>
      <c r="AG69" s="152"/>
      <c r="AH69" s="152"/>
      <c r="AI69" s="152"/>
      <c r="AJ69" s="152"/>
    </row>
    <row r="70" spans="1:36" x14ac:dyDescent="0.3">
      <c r="A70" s="157" t="s">
        <v>10</v>
      </c>
      <c r="B70" s="152" t="s">
        <v>511</v>
      </c>
      <c r="C70" s="157" t="s">
        <v>185</v>
      </c>
      <c r="D70" s="159">
        <v>354.4</v>
      </c>
      <c r="E70" s="152"/>
      <c r="F70" s="160">
        <v>149.88381072480601</v>
      </c>
      <c r="G70" s="160">
        <f t="shared" si="0"/>
        <v>141.82591460088477</v>
      </c>
      <c r="H70" s="160">
        <f t="shared" si="1"/>
        <v>212.57408539911521</v>
      </c>
      <c r="I70" s="152">
        <v>150</v>
      </c>
      <c r="J70" s="161">
        <f t="shared" si="2"/>
        <v>362.57408539911523</v>
      </c>
      <c r="K70" s="152"/>
      <c r="L70" s="152"/>
      <c r="M70" s="162">
        <v>1.6847335140018067</v>
      </c>
      <c r="N70" s="152">
        <v>91.8</v>
      </c>
      <c r="O70" s="163">
        <f t="shared" si="4"/>
        <v>0.15465853658536585</v>
      </c>
      <c r="P70" s="160">
        <f t="shared" si="20"/>
        <v>1.090481503472716</v>
      </c>
      <c r="Q70" s="152">
        <v>45.300000000000118</v>
      </c>
      <c r="R70" s="170">
        <v>14.786764</v>
      </c>
      <c r="S70" s="165">
        <f t="shared" si="6"/>
        <v>29.965230357615816</v>
      </c>
      <c r="T70" s="171">
        <v>0.20418260320393797</v>
      </c>
      <c r="U70" s="152"/>
      <c r="V70" s="152"/>
      <c r="W70" s="186"/>
      <c r="X70" s="152"/>
      <c r="Y70" s="152"/>
      <c r="Z70" s="152"/>
      <c r="AA70" s="166">
        <v>47.966666666558012</v>
      </c>
      <c r="AB70" s="152"/>
      <c r="AC70" s="152"/>
      <c r="AD70" s="185"/>
      <c r="AE70" s="153"/>
      <c r="AF70" s="152"/>
      <c r="AG70" s="152"/>
      <c r="AH70" s="152"/>
      <c r="AI70" s="152"/>
      <c r="AJ70" s="152"/>
    </row>
    <row r="71" spans="1:36" x14ac:dyDescent="0.3">
      <c r="A71" s="157" t="s">
        <v>11</v>
      </c>
      <c r="B71" s="152" t="s">
        <v>511</v>
      </c>
      <c r="C71" s="157" t="s">
        <v>185</v>
      </c>
      <c r="D71" s="159">
        <v>351.8</v>
      </c>
      <c r="E71" s="152"/>
      <c r="F71" s="160">
        <v>156.82764758793891</v>
      </c>
      <c r="G71" s="160">
        <f t="shared" si="0"/>
        <v>136.97902204222081</v>
      </c>
      <c r="H71" s="160">
        <f t="shared" si="1"/>
        <v>214.82097795777921</v>
      </c>
      <c r="I71" s="152">
        <v>150</v>
      </c>
      <c r="J71" s="161">
        <f t="shared" si="2"/>
        <v>364.82097795777918</v>
      </c>
      <c r="K71" s="152"/>
      <c r="L71" s="152"/>
      <c r="M71" s="162">
        <v>8.9532520325203251</v>
      </c>
      <c r="N71" s="152">
        <v>95.199999999999946</v>
      </c>
      <c r="O71" s="163">
        <f t="shared" si="4"/>
        <v>0.85234959349593442</v>
      </c>
      <c r="P71" s="160">
        <f t="shared" si="20"/>
        <v>6.2224826895991132</v>
      </c>
      <c r="Q71" s="152">
        <f>47.3-5</f>
        <v>42.3</v>
      </c>
      <c r="R71" s="164">
        <v>4.5187597000000004</v>
      </c>
      <c r="S71" s="165">
        <f t="shared" si="6"/>
        <v>10.169879986761226</v>
      </c>
      <c r="T71" s="165">
        <v>0.21517364718953871</v>
      </c>
      <c r="U71" s="152"/>
      <c r="V71" s="152"/>
      <c r="W71" s="186"/>
      <c r="X71" s="152"/>
      <c r="Y71" s="152"/>
      <c r="Z71" s="152"/>
      <c r="AA71" s="166">
        <v>47.966666666558012</v>
      </c>
      <c r="AB71" s="152"/>
      <c r="AC71" s="152"/>
      <c r="AD71" s="185"/>
      <c r="AE71" s="153"/>
      <c r="AF71" s="152"/>
      <c r="AG71" s="152"/>
      <c r="AH71" s="152"/>
      <c r="AI71" s="152"/>
      <c r="AJ71" s="152"/>
    </row>
    <row r="72" spans="1:36" x14ac:dyDescent="0.3">
      <c r="A72" s="157" t="s">
        <v>12</v>
      </c>
      <c r="B72" s="152" t="s">
        <v>511</v>
      </c>
      <c r="C72" s="157" t="s">
        <v>185</v>
      </c>
      <c r="D72" s="159">
        <v>348.9</v>
      </c>
      <c r="E72" s="152"/>
      <c r="F72" s="160">
        <v>153.00946725861891</v>
      </c>
      <c r="G72" s="160">
        <f t="shared" si="0"/>
        <v>137.89997812349233</v>
      </c>
      <c r="H72" s="160">
        <f t="shared" si="1"/>
        <v>211.00002187650765</v>
      </c>
      <c r="I72" s="152">
        <v>150</v>
      </c>
      <c r="J72" s="161">
        <f t="shared" si="2"/>
        <v>361.00002187650762</v>
      </c>
      <c r="K72" s="152"/>
      <c r="L72" s="152"/>
      <c r="M72" s="162">
        <v>9.9881436314363139</v>
      </c>
      <c r="N72" s="152">
        <v>93.499999999999915</v>
      </c>
      <c r="O72" s="163">
        <f t="shared" si="4"/>
        <v>0.93389142953929449</v>
      </c>
      <c r="P72" s="160">
        <f t="shared" si="20"/>
        <v>6.7722376917491243</v>
      </c>
      <c r="Q72" s="152">
        <v>46.999999999999929</v>
      </c>
      <c r="R72" s="170">
        <v>13.371676000000001</v>
      </c>
      <c r="S72" s="165">
        <f t="shared" si="6"/>
        <v>26.601100127659592</v>
      </c>
      <c r="T72" s="171">
        <v>0.20397674234755475</v>
      </c>
      <c r="U72" s="152"/>
      <c r="V72" s="152"/>
      <c r="W72" s="186"/>
      <c r="X72" s="152"/>
      <c r="Y72" s="152"/>
      <c r="Z72" s="152"/>
      <c r="AA72" s="166">
        <v>47.966666666558012</v>
      </c>
      <c r="AB72" s="152"/>
      <c r="AC72" s="152"/>
      <c r="AD72" s="185"/>
      <c r="AE72" s="153"/>
      <c r="AF72" s="152"/>
      <c r="AG72" s="152"/>
      <c r="AH72" s="152"/>
      <c r="AI72" s="152"/>
      <c r="AJ72" s="152"/>
    </row>
    <row r="73" spans="1:36" x14ac:dyDescent="0.3">
      <c r="A73" s="157" t="s">
        <v>13</v>
      </c>
      <c r="B73" s="152" t="s">
        <v>511</v>
      </c>
      <c r="C73" s="157" t="s">
        <v>185</v>
      </c>
      <c r="D73" s="159">
        <v>353.9</v>
      </c>
      <c r="E73" s="152"/>
      <c r="F73" s="160">
        <v>149.7216479300468</v>
      </c>
      <c r="G73" s="160">
        <f t="shared" ref="G73:G119" si="21">D73/((F73/100)+1)</f>
        <v>141.71778976051613</v>
      </c>
      <c r="H73" s="160">
        <f t="shared" ref="H73:H119" si="22">D73-G73</f>
        <v>212.18221023948385</v>
      </c>
      <c r="I73" s="152">
        <v>150</v>
      </c>
      <c r="J73" s="161">
        <f t="shared" ref="J73:J119" si="23">H73+I73</f>
        <v>362.18221023948388</v>
      </c>
      <c r="K73" s="152"/>
      <c r="L73" s="152"/>
      <c r="M73" s="162">
        <v>1.1732158988256549</v>
      </c>
      <c r="N73" s="152">
        <v>93.599999999999909</v>
      </c>
      <c r="O73" s="163">
        <f t="shared" ref="O73:O119" si="24">(N73*M73)/1000</f>
        <v>0.10981300813008119</v>
      </c>
      <c r="P73" s="160">
        <f t="shared" si="20"/>
        <v>0.77487101877365072</v>
      </c>
      <c r="Q73" s="152">
        <v>46.900000000000055</v>
      </c>
      <c r="R73" s="170">
        <v>9.8530519999999999</v>
      </c>
      <c r="S73" s="165">
        <f t="shared" ref="S73:S119" si="25">+R73*N73/Q73</f>
        <v>19.66408672068226</v>
      </c>
      <c r="T73" s="171">
        <v>0.20673823996731774</v>
      </c>
      <c r="U73" s="152"/>
      <c r="V73" s="152"/>
      <c r="W73" s="186"/>
      <c r="X73" s="152"/>
      <c r="Y73" s="152"/>
      <c r="Z73" s="152"/>
      <c r="AA73" s="166">
        <v>47.966666666558012</v>
      </c>
      <c r="AB73" s="152"/>
      <c r="AC73" s="152"/>
      <c r="AD73" s="185"/>
      <c r="AE73" s="153"/>
      <c r="AF73" s="152"/>
      <c r="AG73" s="152"/>
      <c r="AH73" s="152"/>
      <c r="AI73" s="152"/>
      <c r="AJ73" s="152"/>
    </row>
    <row r="74" spans="1:36" x14ac:dyDescent="0.3">
      <c r="A74" s="157" t="s">
        <v>14</v>
      </c>
      <c r="B74" s="152" t="s">
        <v>511</v>
      </c>
      <c r="C74" s="157" t="s">
        <v>185</v>
      </c>
      <c r="D74" s="159">
        <v>348.1</v>
      </c>
      <c r="E74" s="152"/>
      <c r="F74" s="160">
        <v>151.36847373382352</v>
      </c>
      <c r="G74" s="160">
        <f t="shared" si="21"/>
        <v>138.48196427711392</v>
      </c>
      <c r="H74" s="160">
        <f t="shared" si="22"/>
        <v>209.61803572288611</v>
      </c>
      <c r="I74" s="152">
        <v>150</v>
      </c>
      <c r="J74" s="161">
        <f t="shared" si="23"/>
        <v>359.61803572288613</v>
      </c>
      <c r="K74" s="152"/>
      <c r="L74" s="152"/>
      <c r="M74" s="162">
        <v>14.817073170731707</v>
      </c>
      <c r="N74" s="152">
        <v>91.600000000000122</v>
      </c>
      <c r="O74" s="163">
        <f t="shared" si="24"/>
        <v>1.3572439024390262</v>
      </c>
      <c r="P74" s="160">
        <f t="shared" si="20"/>
        <v>9.8008712508082869</v>
      </c>
      <c r="Q74" s="152">
        <v>46.800000000000061</v>
      </c>
      <c r="R74" s="164">
        <v>9.5449991000000001</v>
      </c>
      <c r="S74" s="165">
        <f t="shared" si="25"/>
        <v>18.682092255555556</v>
      </c>
      <c r="T74" s="165">
        <v>0.21520189223919634</v>
      </c>
      <c r="U74" s="152"/>
      <c r="V74" s="152"/>
      <c r="W74" s="186"/>
      <c r="X74" s="152"/>
      <c r="Y74" s="152"/>
      <c r="Z74" s="152"/>
      <c r="AA74" s="166">
        <v>47.966666666558012</v>
      </c>
      <c r="AB74" s="152"/>
      <c r="AC74" s="152"/>
      <c r="AD74" s="185"/>
      <c r="AE74" s="153"/>
      <c r="AF74" s="152"/>
      <c r="AG74" s="152"/>
      <c r="AH74" s="152"/>
      <c r="AI74" s="152"/>
      <c r="AJ74" s="152"/>
    </row>
    <row r="75" spans="1:36" x14ac:dyDescent="0.3">
      <c r="A75" s="157" t="s">
        <v>15</v>
      </c>
      <c r="B75" s="152" t="s">
        <v>511</v>
      </c>
      <c r="C75" s="157" t="s">
        <v>185</v>
      </c>
      <c r="D75" s="159">
        <v>352.3</v>
      </c>
      <c r="E75" s="152"/>
      <c r="F75" s="160">
        <v>150.60919106331295</v>
      </c>
      <c r="G75" s="160">
        <f t="shared" si="21"/>
        <v>140.57744590500525</v>
      </c>
      <c r="H75" s="160">
        <f t="shared" si="22"/>
        <v>211.72255409499476</v>
      </c>
      <c r="I75" s="152">
        <v>150</v>
      </c>
      <c r="J75" s="161">
        <f t="shared" si="23"/>
        <v>361.72255409499473</v>
      </c>
      <c r="K75" s="152"/>
      <c r="L75" s="152"/>
      <c r="M75" s="162">
        <v>1.0676377597109303</v>
      </c>
      <c r="N75" s="152">
        <v>93.500000000000028</v>
      </c>
      <c r="O75" s="163">
        <f t="shared" si="24"/>
        <v>9.9824130532972025E-2</v>
      </c>
      <c r="P75" s="160">
        <f t="shared" si="20"/>
        <v>0.71010061315545492</v>
      </c>
      <c r="Q75" s="152">
        <v>46.599999999999973</v>
      </c>
      <c r="R75" s="170">
        <v>9.5038679999999989</v>
      </c>
      <c r="S75" s="165">
        <f t="shared" si="25"/>
        <v>19.068919699570831</v>
      </c>
      <c r="T75" s="171">
        <v>0.20471251962451706</v>
      </c>
      <c r="U75" s="152"/>
      <c r="V75" s="152"/>
      <c r="W75" s="186"/>
      <c r="X75" s="152"/>
      <c r="Y75" s="152"/>
      <c r="Z75" s="152"/>
      <c r="AA75" s="166">
        <v>47.966666666558012</v>
      </c>
      <c r="AB75" s="152"/>
      <c r="AC75" s="152"/>
      <c r="AD75" s="185"/>
      <c r="AE75" s="153"/>
      <c r="AF75" s="152"/>
      <c r="AG75" s="152"/>
      <c r="AH75" s="152"/>
      <c r="AI75" s="152"/>
      <c r="AJ75" s="152"/>
    </row>
    <row r="76" spans="1:36" x14ac:dyDescent="0.3">
      <c r="A76" s="157" t="s">
        <v>16</v>
      </c>
      <c r="B76" s="152" t="s">
        <v>511</v>
      </c>
      <c r="C76" s="157" t="s">
        <v>185</v>
      </c>
      <c r="D76" s="159">
        <v>353.6</v>
      </c>
      <c r="E76" s="152"/>
      <c r="F76" s="160">
        <v>152.24654205355705</v>
      </c>
      <c r="G76" s="160">
        <f t="shared" si="21"/>
        <v>140.18031609920885</v>
      </c>
      <c r="H76" s="160">
        <f t="shared" si="22"/>
        <v>213.41968390079117</v>
      </c>
      <c r="I76" s="152">
        <v>150</v>
      </c>
      <c r="J76" s="161">
        <f t="shared" si="23"/>
        <v>363.41968390079114</v>
      </c>
      <c r="K76" s="152"/>
      <c r="L76" s="152"/>
      <c r="M76" s="162">
        <v>3.7426603432700993</v>
      </c>
      <c r="N76" s="152">
        <v>94.899999999999977</v>
      </c>
      <c r="O76" s="163">
        <f t="shared" si="24"/>
        <v>0.35517846657633234</v>
      </c>
      <c r="P76" s="160">
        <f t="shared" si="20"/>
        <v>2.5337256788960607</v>
      </c>
      <c r="Q76" s="152">
        <v>45.599999999999973</v>
      </c>
      <c r="R76" s="170">
        <v>16.494244000000002</v>
      </c>
      <c r="S76" s="165">
        <f t="shared" si="25"/>
        <v>34.326836745614052</v>
      </c>
      <c r="T76" s="171">
        <v>0.20429768549219471</v>
      </c>
      <c r="U76" s="152"/>
      <c r="V76" s="152"/>
      <c r="W76" s="186"/>
      <c r="X76" s="152"/>
      <c r="Y76" s="152"/>
      <c r="Z76" s="152"/>
      <c r="AA76" s="166">
        <v>47.966666666558012</v>
      </c>
      <c r="AB76" s="152"/>
      <c r="AC76" s="152"/>
      <c r="AD76" s="187"/>
      <c r="AE76" s="153"/>
      <c r="AF76" s="152"/>
      <c r="AG76" s="152"/>
      <c r="AH76" s="152"/>
      <c r="AI76" s="152"/>
      <c r="AJ76" s="152"/>
    </row>
    <row r="77" spans="1:36" x14ac:dyDescent="0.3">
      <c r="A77" s="157" t="s">
        <v>17</v>
      </c>
      <c r="B77" s="152" t="s">
        <v>511</v>
      </c>
      <c r="C77" s="157" t="s">
        <v>185</v>
      </c>
      <c r="D77" s="159">
        <v>355.6</v>
      </c>
      <c r="E77" s="152"/>
      <c r="F77" s="160">
        <v>149.57970265535033</v>
      </c>
      <c r="G77" s="160">
        <f t="shared" si="21"/>
        <v>142.47953508104595</v>
      </c>
      <c r="H77" s="160">
        <f t="shared" si="22"/>
        <v>213.12046491895407</v>
      </c>
      <c r="I77" s="152">
        <v>150</v>
      </c>
      <c r="J77" s="161">
        <f t="shared" si="23"/>
        <v>363.1204649189541</v>
      </c>
      <c r="K77" s="152"/>
      <c r="L77" s="152"/>
      <c r="M77" s="162">
        <v>2.9194896115627822</v>
      </c>
      <c r="N77" s="152">
        <v>93.100000000000065</v>
      </c>
      <c r="O77" s="163">
        <f t="shared" si="24"/>
        <v>0.27180448283649522</v>
      </c>
      <c r="P77" s="160">
        <f t="shared" si="20"/>
        <v>1.907673847208204</v>
      </c>
      <c r="Q77" s="152">
        <v>46.200000000000017</v>
      </c>
      <c r="R77" s="170">
        <v>21.654875999999998</v>
      </c>
      <c r="S77" s="165">
        <f t="shared" si="25"/>
        <v>43.637856181818186</v>
      </c>
      <c r="T77" s="171">
        <v>0.205263410697546</v>
      </c>
      <c r="U77" s="152"/>
      <c r="V77" s="152"/>
      <c r="W77" s="186"/>
      <c r="X77" s="152"/>
      <c r="Y77" s="152"/>
      <c r="Z77" s="152"/>
      <c r="AA77" s="166">
        <v>47.966666666558012</v>
      </c>
      <c r="AB77" s="152"/>
      <c r="AC77" s="152"/>
      <c r="AD77" s="185"/>
      <c r="AE77" s="153"/>
      <c r="AF77" s="152"/>
      <c r="AG77" s="152"/>
      <c r="AH77" s="152"/>
      <c r="AI77" s="152"/>
      <c r="AJ77" s="152"/>
    </row>
    <row r="78" spans="1:36" x14ac:dyDescent="0.3">
      <c r="A78" s="157" t="s">
        <v>23</v>
      </c>
      <c r="B78" s="152" t="s">
        <v>511</v>
      </c>
      <c r="C78" s="157" t="s">
        <v>185</v>
      </c>
      <c r="D78" s="159">
        <v>347.6</v>
      </c>
      <c r="E78" s="152"/>
      <c r="F78" s="160">
        <v>152.41181713181774</v>
      </c>
      <c r="G78" s="160">
        <f t="shared" si="21"/>
        <v>137.71146056068835</v>
      </c>
      <c r="H78" s="160">
        <f t="shared" si="22"/>
        <v>209.88853943931167</v>
      </c>
      <c r="I78" s="152">
        <v>150</v>
      </c>
      <c r="J78" s="161">
        <f t="shared" si="23"/>
        <v>359.88853943931167</v>
      </c>
      <c r="K78" s="152"/>
      <c r="L78" s="152"/>
      <c r="M78" s="162">
        <v>1.2308039747064137</v>
      </c>
      <c r="N78" s="152">
        <v>96.20000000000006</v>
      </c>
      <c r="O78" s="163">
        <f t="shared" si="24"/>
        <v>0.11840334236675708</v>
      </c>
      <c r="P78" s="160">
        <f t="shared" si="20"/>
        <v>0.85979294595149292</v>
      </c>
      <c r="Q78" s="152">
        <v>47.699999999999854</v>
      </c>
      <c r="R78" s="170">
        <v>9.531644</v>
      </c>
      <c r="S78" s="165">
        <f t="shared" si="25"/>
        <v>19.22314785744242</v>
      </c>
      <c r="T78" s="171">
        <v>0.20483217069135753</v>
      </c>
      <c r="U78" s="152"/>
      <c r="V78" s="152"/>
      <c r="W78" s="186"/>
      <c r="X78" s="152"/>
      <c r="Y78" s="152"/>
      <c r="Z78" s="152"/>
      <c r="AA78" s="166">
        <v>47.883333333302289</v>
      </c>
      <c r="AB78" s="152"/>
      <c r="AC78" s="152"/>
      <c r="AD78" s="185"/>
      <c r="AE78" s="153"/>
      <c r="AF78" s="152"/>
      <c r="AG78" s="152"/>
      <c r="AH78" s="152"/>
      <c r="AI78" s="152"/>
      <c r="AJ78" s="152"/>
    </row>
    <row r="79" spans="1:36" x14ac:dyDescent="0.3">
      <c r="A79" s="157" t="s">
        <v>18</v>
      </c>
      <c r="B79" s="152" t="s">
        <v>511</v>
      </c>
      <c r="C79" s="157" t="s">
        <v>185</v>
      </c>
      <c r="D79" s="159">
        <v>357.70000000000005</v>
      </c>
      <c r="E79" s="152"/>
      <c r="F79" s="160">
        <v>150.07423382891506</v>
      </c>
      <c r="G79" s="160">
        <f t="shared" si="21"/>
        <v>143.03752710673734</v>
      </c>
      <c r="H79" s="160">
        <f t="shared" si="22"/>
        <v>214.6624728932627</v>
      </c>
      <c r="I79" s="152">
        <v>150</v>
      </c>
      <c r="J79" s="161">
        <f t="shared" si="23"/>
        <v>364.6624728932627</v>
      </c>
      <c r="K79" s="152"/>
      <c r="L79" s="152"/>
      <c r="M79" s="162">
        <v>1.1636178861788617</v>
      </c>
      <c r="N79" s="152">
        <v>94.199999999999946</v>
      </c>
      <c r="O79" s="163">
        <f t="shared" si="24"/>
        <v>0.10961280487804873</v>
      </c>
      <c r="P79" s="160">
        <f t="shared" si="20"/>
        <v>0.76632200720481947</v>
      </c>
      <c r="Q79" s="152">
        <f>46.4999999999999-5</f>
        <v>41.499999999999901</v>
      </c>
      <c r="R79" s="170">
        <v>8.2360920000000011</v>
      </c>
      <c r="S79" s="165">
        <f t="shared" si="25"/>
        <v>18.694936539759073</v>
      </c>
      <c r="T79" s="171">
        <v>0.20564479326217161</v>
      </c>
      <c r="U79" s="152"/>
      <c r="V79" s="152"/>
      <c r="W79" s="188"/>
      <c r="X79" s="152"/>
      <c r="Y79" s="152"/>
      <c r="Z79" s="152"/>
      <c r="AA79" s="166">
        <v>47.883333333302289</v>
      </c>
      <c r="AB79" s="152"/>
      <c r="AC79" s="152"/>
      <c r="AD79" s="185"/>
      <c r="AE79" s="153"/>
      <c r="AF79" s="152"/>
      <c r="AG79" s="152"/>
      <c r="AH79" s="152"/>
      <c r="AI79" s="152"/>
      <c r="AJ79" s="152"/>
    </row>
    <row r="80" spans="1:36" x14ac:dyDescent="0.3">
      <c r="A80" s="157" t="s">
        <v>19</v>
      </c>
      <c r="B80" s="152" t="s">
        <v>511</v>
      </c>
      <c r="C80" s="157" t="s">
        <v>185</v>
      </c>
      <c r="D80" s="159">
        <v>357.8</v>
      </c>
      <c r="E80" s="152"/>
      <c r="F80" s="160">
        <v>152.26037535342482</v>
      </c>
      <c r="G80" s="160">
        <f t="shared" si="21"/>
        <v>141.83757536185016</v>
      </c>
      <c r="H80" s="160">
        <f t="shared" si="22"/>
        <v>215.96242463814986</v>
      </c>
      <c r="I80" s="152">
        <v>150</v>
      </c>
      <c r="J80" s="161">
        <f t="shared" si="23"/>
        <v>365.96242463814986</v>
      </c>
      <c r="K80" s="152"/>
      <c r="L80" s="152"/>
      <c r="M80" s="162">
        <v>1.2957317073170731</v>
      </c>
      <c r="N80" s="152">
        <v>95.300000000000054</v>
      </c>
      <c r="O80" s="163">
        <f t="shared" si="24"/>
        <v>0.12348323170731713</v>
      </c>
      <c r="P80" s="160">
        <f t="shared" si="20"/>
        <v>0.87059604193241336</v>
      </c>
      <c r="Q80" s="152">
        <f>48.6000000000001-5</f>
        <v>43.600000000000101</v>
      </c>
      <c r="R80" s="189">
        <v>8.6722818000000021</v>
      </c>
      <c r="S80" s="165">
        <f t="shared" si="25"/>
        <v>18.955698521559604</v>
      </c>
      <c r="T80" s="165">
        <v>0.20961778424581939</v>
      </c>
      <c r="U80" s="152"/>
      <c r="V80" s="152"/>
      <c r="W80" s="188"/>
      <c r="X80" s="152"/>
      <c r="Y80" s="152"/>
      <c r="Z80" s="152"/>
      <c r="AA80" s="166">
        <v>47.883333333302289</v>
      </c>
      <c r="AB80" s="152"/>
      <c r="AC80" s="152"/>
      <c r="AD80" s="185"/>
      <c r="AE80" s="153"/>
      <c r="AF80" s="152"/>
      <c r="AG80" s="152"/>
      <c r="AH80" s="152"/>
      <c r="AI80" s="152"/>
      <c r="AJ80" s="152"/>
    </row>
    <row r="81" spans="1:36" x14ac:dyDescent="0.3">
      <c r="A81" s="157" t="s">
        <v>20</v>
      </c>
      <c r="B81" s="152" t="s">
        <v>511</v>
      </c>
      <c r="C81" s="157" t="s">
        <v>185</v>
      </c>
      <c r="D81" s="159">
        <v>361.09999999999997</v>
      </c>
      <c r="E81" s="152"/>
      <c r="F81" s="160">
        <v>154.11935815025436</v>
      </c>
      <c r="G81" s="160">
        <f t="shared" si="21"/>
        <v>142.09858022169669</v>
      </c>
      <c r="H81" s="160">
        <f t="shared" si="22"/>
        <v>219.00141977830327</v>
      </c>
      <c r="I81" s="152">
        <v>150</v>
      </c>
      <c r="J81" s="161">
        <f t="shared" si="23"/>
        <v>369.00141977830327</v>
      </c>
      <c r="K81" s="152"/>
      <c r="L81" s="152"/>
      <c r="M81" s="162">
        <v>15.137760508654187</v>
      </c>
      <c r="N81" s="152">
        <v>97.000000000000085</v>
      </c>
      <c r="O81" s="163">
        <f t="shared" si="24"/>
        <v>1.4683627693394574</v>
      </c>
      <c r="P81" s="160">
        <f t="shared" si="20"/>
        <v>10.333409151932235</v>
      </c>
      <c r="Q81" s="152">
        <v>48.200000000000017</v>
      </c>
      <c r="R81" s="170">
        <v>8.7541639999999994</v>
      </c>
      <c r="S81" s="165">
        <f t="shared" si="25"/>
        <v>17.617300995850631</v>
      </c>
      <c r="T81" s="171">
        <v>0.20512901211658263</v>
      </c>
      <c r="U81" s="152"/>
      <c r="V81" s="152"/>
      <c r="W81" s="186"/>
      <c r="X81" s="152"/>
      <c r="Y81" s="152"/>
      <c r="Z81" s="152"/>
      <c r="AA81" s="166">
        <v>48.049999999988358</v>
      </c>
      <c r="AB81" s="152"/>
      <c r="AC81" s="152"/>
      <c r="AD81" s="185"/>
      <c r="AE81" s="153"/>
      <c r="AF81" s="152"/>
      <c r="AG81" s="152"/>
      <c r="AH81" s="152"/>
      <c r="AI81" s="152"/>
      <c r="AJ81" s="152"/>
    </row>
    <row r="82" spans="1:36" x14ac:dyDescent="0.3">
      <c r="A82" s="157" t="s">
        <v>21</v>
      </c>
      <c r="B82" s="152" t="s">
        <v>511</v>
      </c>
      <c r="C82" s="157" t="s">
        <v>185</v>
      </c>
      <c r="D82" s="159">
        <v>352.7</v>
      </c>
      <c r="E82" s="152"/>
      <c r="F82" s="160">
        <v>155.10871945370067</v>
      </c>
      <c r="G82" s="160">
        <f t="shared" si="21"/>
        <v>138.25478045410793</v>
      </c>
      <c r="H82" s="160">
        <f t="shared" si="22"/>
        <v>214.44521954589206</v>
      </c>
      <c r="I82" s="152">
        <v>150</v>
      </c>
      <c r="J82" s="161">
        <f t="shared" si="23"/>
        <v>364.44521954589209</v>
      </c>
      <c r="K82" s="152"/>
      <c r="L82" s="152"/>
      <c r="M82" s="162">
        <v>2.814476061427281</v>
      </c>
      <c r="N82" s="152">
        <v>97.20000000000006</v>
      </c>
      <c r="O82" s="163">
        <f t="shared" si="24"/>
        <v>0.27356707317073187</v>
      </c>
      <c r="P82" s="160">
        <f t="shared" si="20"/>
        <v>1.9787169186640838</v>
      </c>
      <c r="Q82" s="152">
        <v>48.699999999999967</v>
      </c>
      <c r="R82" s="170">
        <v>3.9253559999999994</v>
      </c>
      <c r="S82" s="165">
        <f t="shared" si="25"/>
        <v>7.8345914414784481</v>
      </c>
      <c r="T82" s="171">
        <v>0.20682361255227341</v>
      </c>
      <c r="U82" s="152"/>
      <c r="V82" s="152"/>
      <c r="W82" s="186"/>
      <c r="X82" s="152"/>
      <c r="Y82" s="152"/>
      <c r="Z82" s="152"/>
      <c r="AA82" s="166">
        <v>47.883333333302289</v>
      </c>
      <c r="AB82" s="152"/>
      <c r="AC82" s="152"/>
      <c r="AD82" s="187"/>
      <c r="AE82" s="153"/>
      <c r="AF82" s="152"/>
      <c r="AG82" s="152"/>
      <c r="AH82" s="152"/>
      <c r="AI82" s="152"/>
      <c r="AJ82" s="152"/>
    </row>
    <row r="83" spans="1:36" x14ac:dyDescent="0.3">
      <c r="A83" s="157" t="s">
        <v>22</v>
      </c>
      <c r="B83" s="152" t="s">
        <v>511</v>
      </c>
      <c r="C83" s="157" t="s">
        <v>185</v>
      </c>
      <c r="D83" s="159">
        <v>358.09999999999997</v>
      </c>
      <c r="E83" s="152"/>
      <c r="F83" s="160">
        <v>156.49002472495087</v>
      </c>
      <c r="G83" s="160">
        <f t="shared" si="21"/>
        <v>139.61556609619083</v>
      </c>
      <c r="H83" s="160">
        <f t="shared" si="22"/>
        <v>218.48443390380913</v>
      </c>
      <c r="I83" s="152">
        <v>150</v>
      </c>
      <c r="J83" s="161">
        <f t="shared" si="23"/>
        <v>368.48443390380913</v>
      </c>
      <c r="K83" s="152"/>
      <c r="L83" s="152"/>
      <c r="M83" s="162">
        <v>5.3201219512195124</v>
      </c>
      <c r="N83" s="152">
        <v>99.500000000000028</v>
      </c>
      <c r="O83" s="163">
        <f t="shared" si="24"/>
        <v>0.52935213414634164</v>
      </c>
      <c r="P83" s="160">
        <f t="shared" si="20"/>
        <v>3.7914979607763386</v>
      </c>
      <c r="Q83" s="152">
        <v>47.499999999999986</v>
      </c>
      <c r="R83" s="170">
        <v>7.6518039999999994</v>
      </c>
      <c r="S83" s="165">
        <f t="shared" si="25"/>
        <v>16.028515747368427</v>
      </c>
      <c r="T83" s="171">
        <v>0.20493644968575819</v>
      </c>
      <c r="U83" s="152"/>
      <c r="V83" s="152"/>
      <c r="W83" s="188"/>
      <c r="X83" s="152"/>
      <c r="Y83" s="152"/>
      <c r="Z83" s="152"/>
      <c r="AA83" s="166">
        <v>47.883333333302289</v>
      </c>
      <c r="AB83" s="152"/>
      <c r="AC83" s="152"/>
      <c r="AD83" s="187"/>
      <c r="AE83" s="153"/>
      <c r="AF83" s="152"/>
      <c r="AG83" s="152"/>
      <c r="AH83" s="152"/>
      <c r="AI83" s="152"/>
      <c r="AJ83" s="152"/>
    </row>
    <row r="84" spans="1:36" x14ac:dyDescent="0.3">
      <c r="A84" s="157" t="s">
        <v>48</v>
      </c>
      <c r="B84" s="152" t="s">
        <v>511</v>
      </c>
      <c r="C84" s="157" t="s">
        <v>185</v>
      </c>
      <c r="D84" s="159">
        <v>352</v>
      </c>
      <c r="E84" s="152"/>
      <c r="F84" s="160">
        <v>150.77016640963063</v>
      </c>
      <c r="G84" s="160">
        <f t="shared" si="21"/>
        <v>140.3675744366702</v>
      </c>
      <c r="H84" s="160">
        <f t="shared" si="22"/>
        <v>211.6324255633298</v>
      </c>
      <c r="I84" s="152">
        <v>150</v>
      </c>
      <c r="J84" s="161">
        <f t="shared" si="23"/>
        <v>361.63242556332978</v>
      </c>
      <c r="K84" s="152"/>
      <c r="L84" s="152"/>
      <c r="M84" s="162">
        <v>3.147018970189702</v>
      </c>
      <c r="N84" s="152">
        <v>97.500000000000028</v>
      </c>
      <c r="O84" s="163">
        <f t="shared" si="24"/>
        <v>0.30683434959349604</v>
      </c>
      <c r="P84" s="160">
        <f t="shared" si="20"/>
        <v>2.185934684879312</v>
      </c>
      <c r="Q84" s="152">
        <v>47.700000000000074</v>
      </c>
      <c r="R84" s="170">
        <v>7.164483999999999</v>
      </c>
      <c r="S84" s="165">
        <f t="shared" si="25"/>
        <v>14.644385534591175</v>
      </c>
      <c r="T84" s="171">
        <v>0.20675423435566753</v>
      </c>
      <c r="U84" s="152"/>
      <c r="V84" s="152"/>
      <c r="W84" s="186"/>
      <c r="X84" s="152"/>
      <c r="Y84" s="152"/>
      <c r="Z84" s="152"/>
      <c r="AA84" s="166">
        <v>47.883333333302289</v>
      </c>
      <c r="AB84" s="152"/>
      <c r="AC84" s="152"/>
      <c r="AD84" s="185"/>
      <c r="AE84" s="153"/>
      <c r="AF84" s="152"/>
      <c r="AG84" s="152"/>
      <c r="AH84" s="152"/>
      <c r="AI84" s="152"/>
      <c r="AJ84" s="152"/>
    </row>
    <row r="85" spans="1:36" x14ac:dyDescent="0.3">
      <c r="A85" s="157" t="s">
        <v>49</v>
      </c>
      <c r="B85" s="152" t="s">
        <v>511</v>
      </c>
      <c r="C85" s="157" t="s">
        <v>185</v>
      </c>
      <c r="D85" s="159">
        <v>350.9</v>
      </c>
      <c r="E85" s="152"/>
      <c r="F85" s="160">
        <v>151.53219321909572</v>
      </c>
      <c r="G85" s="160">
        <f t="shared" si="21"/>
        <v>139.50500550613432</v>
      </c>
      <c r="H85" s="160">
        <f t="shared" si="22"/>
        <v>211.39499449386565</v>
      </c>
      <c r="I85" s="152">
        <v>150</v>
      </c>
      <c r="J85" s="161">
        <f t="shared" si="23"/>
        <v>361.39499449386562</v>
      </c>
      <c r="K85" s="152"/>
      <c r="L85" s="152"/>
      <c r="M85" s="162">
        <v>5.2772131887985543</v>
      </c>
      <c r="N85" s="152">
        <v>100.39999999999993</v>
      </c>
      <c r="O85" s="163">
        <f t="shared" si="24"/>
        <v>0.52983220415537446</v>
      </c>
      <c r="P85" s="160">
        <f t="shared" si="20"/>
        <v>3.7979440395927346</v>
      </c>
      <c r="Q85" s="152">
        <v>47.499999999999986</v>
      </c>
      <c r="R85" s="170">
        <v>6.257547999999999</v>
      </c>
      <c r="S85" s="165">
        <f t="shared" si="25"/>
        <v>13.22648040421052</v>
      </c>
      <c r="T85" s="171">
        <v>0.20577856728381566</v>
      </c>
      <c r="U85" s="152"/>
      <c r="V85" s="152"/>
      <c r="W85" s="186"/>
      <c r="X85" s="152"/>
      <c r="Y85" s="152"/>
      <c r="Z85" s="152"/>
      <c r="AA85" s="166">
        <v>47.883333333302289</v>
      </c>
      <c r="AB85" s="152"/>
      <c r="AC85" s="152"/>
      <c r="AD85" s="185"/>
      <c r="AE85" s="153"/>
      <c r="AF85" s="152"/>
      <c r="AG85" s="152"/>
      <c r="AH85" s="152"/>
      <c r="AI85" s="152"/>
      <c r="AJ85" s="152"/>
    </row>
    <row r="86" spans="1:36" x14ac:dyDescent="0.3">
      <c r="A86" s="157" t="s">
        <v>53</v>
      </c>
      <c r="B86" s="152" t="s">
        <v>511</v>
      </c>
      <c r="C86" s="157" t="s">
        <v>185</v>
      </c>
      <c r="D86" s="159">
        <v>354.6</v>
      </c>
      <c r="E86" s="152"/>
      <c r="F86" s="160">
        <v>154.68099615830533</v>
      </c>
      <c r="G86" s="160">
        <f t="shared" si="21"/>
        <v>139.23300338419705</v>
      </c>
      <c r="H86" s="160">
        <f t="shared" si="22"/>
        <v>215.36699661580298</v>
      </c>
      <c r="I86" s="152">
        <v>150</v>
      </c>
      <c r="J86" s="161">
        <f t="shared" si="23"/>
        <v>365.36699661580298</v>
      </c>
      <c r="K86" s="152"/>
      <c r="L86" s="152"/>
      <c r="M86" s="162">
        <v>2.7235772357723578</v>
      </c>
      <c r="N86" s="152">
        <v>95.400000000000148</v>
      </c>
      <c r="O86" s="163">
        <f t="shared" si="24"/>
        <v>0.25982926829268332</v>
      </c>
      <c r="P86" s="160">
        <f t="shared" si="20"/>
        <v>1.8661471201315329</v>
      </c>
      <c r="Q86" s="152">
        <v>47.900000000000055</v>
      </c>
      <c r="R86" s="170">
        <v>5.7630359999999996</v>
      </c>
      <c r="S86" s="165">
        <f t="shared" si="25"/>
        <v>11.477946438413364</v>
      </c>
      <c r="T86" s="171">
        <v>0.20606190113919862</v>
      </c>
      <c r="U86" s="152"/>
      <c r="V86" s="152"/>
      <c r="W86" s="186"/>
      <c r="X86" s="152"/>
      <c r="Y86" s="152"/>
      <c r="Z86" s="152"/>
      <c r="AA86" s="166">
        <v>47.883333333302289</v>
      </c>
      <c r="AB86" s="152"/>
      <c r="AC86" s="152"/>
      <c r="AD86" s="185"/>
      <c r="AE86" s="153"/>
      <c r="AF86" s="152"/>
      <c r="AG86" s="152"/>
      <c r="AH86" s="152"/>
      <c r="AI86" s="152"/>
      <c r="AJ86" s="152"/>
    </row>
    <row r="87" spans="1:36" x14ac:dyDescent="0.3">
      <c r="A87" s="157" t="s">
        <v>54</v>
      </c>
      <c r="B87" s="152" t="s">
        <v>511</v>
      </c>
      <c r="C87" s="157" t="s">
        <v>185</v>
      </c>
      <c r="D87" s="159">
        <v>357.8</v>
      </c>
      <c r="E87" s="152"/>
      <c r="F87" s="160">
        <v>154.81571834188347</v>
      </c>
      <c r="G87" s="160">
        <f t="shared" si="21"/>
        <v>140.41519978761423</v>
      </c>
      <c r="H87" s="160">
        <f t="shared" si="22"/>
        <v>217.38480021238578</v>
      </c>
      <c r="I87" s="152">
        <v>150</v>
      </c>
      <c r="J87" s="161">
        <f t="shared" si="23"/>
        <v>367.38480021238581</v>
      </c>
      <c r="K87" s="152"/>
      <c r="L87" s="152"/>
      <c r="M87" s="162">
        <v>2.3673215898825655</v>
      </c>
      <c r="N87" s="152">
        <v>98.400000000000048</v>
      </c>
      <c r="O87" s="163">
        <f t="shared" si="24"/>
        <v>0.23294444444444454</v>
      </c>
      <c r="P87" s="160">
        <f t="shared" si="20"/>
        <v>1.6589688637468447</v>
      </c>
      <c r="Q87" s="152">
        <v>48.000000000000043</v>
      </c>
      <c r="R87" s="170">
        <v>4.3772120000000001</v>
      </c>
      <c r="S87" s="165">
        <f t="shared" si="25"/>
        <v>8.9732845999999959</v>
      </c>
      <c r="T87" s="171">
        <v>0.20524076861266247</v>
      </c>
      <c r="U87" s="152"/>
      <c r="V87" s="152"/>
      <c r="W87" s="186"/>
      <c r="X87" s="152"/>
      <c r="Y87" s="152"/>
      <c r="Z87" s="152"/>
      <c r="AA87" s="166">
        <v>47.883333333302289</v>
      </c>
      <c r="AB87" s="152"/>
      <c r="AC87" s="152"/>
      <c r="AD87" s="185"/>
      <c r="AE87" s="153"/>
      <c r="AF87" s="152"/>
      <c r="AG87" s="152"/>
      <c r="AH87" s="152"/>
      <c r="AI87" s="152"/>
      <c r="AJ87" s="152"/>
    </row>
    <row r="88" spans="1:36" x14ac:dyDescent="0.3">
      <c r="A88" s="157" t="s">
        <v>58</v>
      </c>
      <c r="B88" s="152" t="s">
        <v>511</v>
      </c>
      <c r="C88" s="157" t="s">
        <v>185</v>
      </c>
      <c r="D88" s="159">
        <v>355.4</v>
      </c>
      <c r="E88" s="152"/>
      <c r="F88" s="160">
        <v>154.51948365467854</v>
      </c>
      <c r="G88" s="160">
        <f t="shared" si="21"/>
        <v>139.63567538986209</v>
      </c>
      <c r="H88" s="160">
        <f t="shared" si="22"/>
        <v>215.76432461013789</v>
      </c>
      <c r="I88" s="152">
        <v>150</v>
      </c>
      <c r="J88" s="161">
        <f t="shared" si="23"/>
        <v>365.76432461013792</v>
      </c>
      <c r="K88" s="152"/>
      <c r="L88" s="152"/>
      <c r="M88" s="162">
        <v>2.8410117434507676</v>
      </c>
      <c r="N88" s="152">
        <v>94.29999999999994</v>
      </c>
      <c r="O88" s="163">
        <f t="shared" si="24"/>
        <v>0.26790740740740721</v>
      </c>
      <c r="P88" s="160">
        <f t="shared" si="20"/>
        <v>1.9186171919132495</v>
      </c>
      <c r="Q88" s="152">
        <v>47.499999999999872</v>
      </c>
      <c r="R88" s="170">
        <v>6.7731399999999997</v>
      </c>
      <c r="S88" s="165">
        <f t="shared" si="25"/>
        <v>13.446465305263185</v>
      </c>
      <c r="T88" s="171">
        <v>0.20535397893433652</v>
      </c>
      <c r="U88" s="152"/>
      <c r="V88" s="152"/>
      <c r="W88" s="188"/>
      <c r="X88" s="152"/>
      <c r="Y88" s="152"/>
      <c r="Z88" s="152"/>
      <c r="AA88" s="166">
        <v>47.883333333302289</v>
      </c>
      <c r="AB88" s="152"/>
      <c r="AC88" s="152"/>
      <c r="AD88" s="185"/>
      <c r="AE88" s="153"/>
      <c r="AF88" s="152"/>
      <c r="AG88" s="152"/>
      <c r="AH88" s="152"/>
      <c r="AI88" s="152"/>
      <c r="AJ88" s="152"/>
    </row>
    <row r="89" spans="1:36" x14ac:dyDescent="0.3">
      <c r="A89" s="157" t="s">
        <v>59</v>
      </c>
      <c r="B89" s="152" t="s">
        <v>511</v>
      </c>
      <c r="C89" s="157" t="s">
        <v>185</v>
      </c>
      <c r="D89" s="159">
        <v>347.9</v>
      </c>
      <c r="E89" s="152"/>
      <c r="F89" s="160">
        <v>155.3457525759726</v>
      </c>
      <c r="G89" s="160">
        <f t="shared" si="21"/>
        <v>136.24663676224253</v>
      </c>
      <c r="H89" s="160">
        <f t="shared" si="22"/>
        <v>211.65336323775745</v>
      </c>
      <c r="I89" s="152">
        <v>150</v>
      </c>
      <c r="J89" s="161">
        <f t="shared" si="23"/>
        <v>361.65336323775745</v>
      </c>
      <c r="K89" s="152"/>
      <c r="L89" s="152"/>
      <c r="M89" s="162">
        <v>5.6362917795844627</v>
      </c>
      <c r="N89" s="152">
        <v>96.899999999999991</v>
      </c>
      <c r="O89" s="163">
        <f t="shared" si="24"/>
        <v>0.54615667344173435</v>
      </c>
      <c r="P89" s="160">
        <f t="shared" si="20"/>
        <v>4.0085882956128023</v>
      </c>
      <c r="Q89" s="152">
        <v>47.800000000000068</v>
      </c>
      <c r="R89" s="189">
        <v>7.1859970000000004</v>
      </c>
      <c r="S89" s="165">
        <f t="shared" si="25"/>
        <v>14.567429064853535</v>
      </c>
      <c r="T89" s="165">
        <v>0.21328783858397185</v>
      </c>
      <c r="U89" s="152"/>
      <c r="V89" s="152"/>
      <c r="W89" s="186"/>
      <c r="X89" s="152"/>
      <c r="Y89" s="152"/>
      <c r="Z89" s="152"/>
      <c r="AA89" s="166">
        <v>47.883333333302289</v>
      </c>
      <c r="AB89" s="152"/>
      <c r="AC89" s="152"/>
      <c r="AD89" s="185"/>
      <c r="AE89" s="153"/>
      <c r="AF89" s="152"/>
      <c r="AG89" s="152"/>
      <c r="AH89" s="152"/>
      <c r="AI89" s="152"/>
      <c r="AJ89" s="152"/>
    </row>
    <row r="90" spans="1:36" x14ac:dyDescent="0.3">
      <c r="A90" s="157" t="s">
        <v>63</v>
      </c>
      <c r="B90" s="152" t="s">
        <v>511</v>
      </c>
      <c r="C90" s="157" t="s">
        <v>185</v>
      </c>
      <c r="D90" s="159">
        <v>355</v>
      </c>
      <c r="E90" s="152"/>
      <c r="F90" s="160">
        <v>150.85284851203605</v>
      </c>
      <c r="G90" s="160">
        <f t="shared" si="21"/>
        <v>141.51722896739079</v>
      </c>
      <c r="H90" s="160">
        <f t="shared" si="22"/>
        <v>213.48277103260921</v>
      </c>
      <c r="I90" s="152">
        <v>150</v>
      </c>
      <c r="J90" s="161">
        <f t="shared" si="23"/>
        <v>363.48277103260921</v>
      </c>
      <c r="K90" s="152"/>
      <c r="L90" s="152"/>
      <c r="M90" s="162">
        <v>6.6198057813911468</v>
      </c>
      <c r="N90" s="152">
        <v>97.400000000000048</v>
      </c>
      <c r="O90" s="163">
        <f t="shared" si="24"/>
        <v>0.64476908310749803</v>
      </c>
      <c r="P90" s="160">
        <f t="shared" si="20"/>
        <v>4.5561172149298468</v>
      </c>
      <c r="Q90" s="152">
        <v>48.299999999999898</v>
      </c>
      <c r="R90" s="189">
        <v>17.0431898</v>
      </c>
      <c r="S90" s="165">
        <f t="shared" si="25"/>
        <v>34.368668457971104</v>
      </c>
      <c r="T90" s="165">
        <v>0.20977751096165317</v>
      </c>
      <c r="U90" s="152"/>
      <c r="V90" s="152"/>
      <c r="W90" s="186"/>
      <c r="X90" s="152"/>
      <c r="Y90" s="152"/>
      <c r="Z90" s="152"/>
      <c r="AA90" s="166">
        <v>47.883333333302289</v>
      </c>
      <c r="AB90" s="152"/>
      <c r="AC90" s="152"/>
      <c r="AD90" s="185"/>
      <c r="AE90" s="153"/>
      <c r="AF90" s="152"/>
      <c r="AG90" s="152"/>
      <c r="AH90" s="152"/>
      <c r="AI90" s="152"/>
      <c r="AJ90" s="152"/>
    </row>
    <row r="91" spans="1:36" x14ac:dyDescent="0.3">
      <c r="A91" s="157" t="s">
        <v>64</v>
      </c>
      <c r="B91" s="152" t="s">
        <v>511</v>
      </c>
      <c r="C91" s="157" t="s">
        <v>185</v>
      </c>
      <c r="D91" s="159">
        <v>348.3</v>
      </c>
      <c r="E91" s="152"/>
      <c r="F91" s="160">
        <v>151.89744591905318</v>
      </c>
      <c r="G91" s="160">
        <f t="shared" si="21"/>
        <v>138.27055638822381</v>
      </c>
      <c r="H91" s="160">
        <f t="shared" si="22"/>
        <v>210.0294436117762</v>
      </c>
      <c r="I91" s="152">
        <v>150</v>
      </c>
      <c r="J91" s="161">
        <f t="shared" si="23"/>
        <v>360.02944361177617</v>
      </c>
      <c r="K91" s="152"/>
      <c r="L91" s="152"/>
      <c r="M91" s="162">
        <v>2.6281616982836495</v>
      </c>
      <c r="N91" s="152">
        <v>97.599999999999909</v>
      </c>
      <c r="O91" s="163">
        <f t="shared" si="24"/>
        <v>0.25650858175248398</v>
      </c>
      <c r="P91" s="160">
        <f t="shared" si="20"/>
        <v>1.8551207751871768</v>
      </c>
      <c r="Q91" s="152">
        <v>48.299999999999898</v>
      </c>
      <c r="R91" s="170">
        <v>5.0039079999999991</v>
      </c>
      <c r="S91" s="165">
        <f t="shared" si="25"/>
        <v>10.111416579710154</v>
      </c>
      <c r="T91" s="171">
        <v>0.20708720727602514</v>
      </c>
      <c r="U91" s="152"/>
      <c r="V91" s="152"/>
      <c r="W91" s="186"/>
      <c r="X91" s="152"/>
      <c r="Y91" s="152"/>
      <c r="Z91" s="152"/>
      <c r="AA91" s="166">
        <v>47.883333333302289</v>
      </c>
      <c r="AB91" s="152"/>
      <c r="AC91" s="152"/>
      <c r="AD91" s="185"/>
      <c r="AE91" s="153"/>
      <c r="AF91" s="152"/>
      <c r="AG91" s="152"/>
      <c r="AH91" s="152"/>
      <c r="AI91" s="152"/>
      <c r="AJ91" s="152"/>
    </row>
    <row r="92" spans="1:36" x14ac:dyDescent="0.3">
      <c r="A92" s="157" t="s">
        <v>45</v>
      </c>
      <c r="B92" s="152" t="s">
        <v>511</v>
      </c>
      <c r="C92" s="157" t="s">
        <v>186</v>
      </c>
      <c r="D92" s="173">
        <v>257.89120922832143</v>
      </c>
      <c r="E92" s="152"/>
      <c r="F92" s="160">
        <v>253.92545366196998</v>
      </c>
      <c r="G92" s="160">
        <f t="shared" si="21"/>
        <v>72.865968400970189</v>
      </c>
      <c r="H92" s="160">
        <f t="shared" si="22"/>
        <v>185.02524082735124</v>
      </c>
      <c r="I92" s="174">
        <v>149</v>
      </c>
      <c r="J92" s="161">
        <f t="shared" si="23"/>
        <v>334.02524082735124</v>
      </c>
      <c r="K92" s="152"/>
      <c r="L92" s="152"/>
      <c r="M92" s="162">
        <v>21.811766034327011</v>
      </c>
      <c r="N92" s="152">
        <v>95.000000000000085</v>
      </c>
      <c r="O92" s="163">
        <f t="shared" si="24"/>
        <v>2.0721177732610681</v>
      </c>
      <c r="P92" s="160">
        <f t="shared" si="20"/>
        <v>28.437387421498652</v>
      </c>
      <c r="Q92" s="152">
        <v>47.699999999999967</v>
      </c>
      <c r="R92" s="189">
        <v>6.619139800000001</v>
      </c>
      <c r="S92" s="165">
        <f t="shared" si="25"/>
        <v>13.182773186582832</v>
      </c>
      <c r="T92" s="165">
        <v>0.21828860597503585</v>
      </c>
      <c r="U92" s="152"/>
      <c r="V92" s="152"/>
      <c r="W92" s="188"/>
      <c r="X92" s="152"/>
      <c r="Y92" s="152"/>
      <c r="Z92" s="152"/>
      <c r="AA92" s="190">
        <v>64.450000000011642</v>
      </c>
      <c r="AB92" s="152"/>
      <c r="AC92" s="152"/>
      <c r="AD92" s="185"/>
      <c r="AE92" s="153"/>
      <c r="AF92" s="152"/>
      <c r="AG92" s="152"/>
      <c r="AH92" s="152"/>
      <c r="AI92" s="152"/>
      <c r="AJ92" s="152"/>
    </row>
    <row r="93" spans="1:36" x14ac:dyDescent="0.3">
      <c r="A93" s="157" t="s">
        <v>46</v>
      </c>
      <c r="B93" s="152" t="s">
        <v>511</v>
      </c>
      <c r="C93" s="157" t="s">
        <v>186</v>
      </c>
      <c r="D93" s="173">
        <v>299.20977011494256</v>
      </c>
      <c r="E93" s="152"/>
      <c r="F93" s="160">
        <v>150.03686904644775</v>
      </c>
      <c r="G93" s="160">
        <f t="shared" si="21"/>
        <v>119.6662601223663</v>
      </c>
      <c r="H93" s="160">
        <f t="shared" si="22"/>
        <v>179.54350999257628</v>
      </c>
      <c r="I93" s="174">
        <v>147</v>
      </c>
      <c r="J93" s="161">
        <f t="shared" si="23"/>
        <v>326.54350999257628</v>
      </c>
      <c r="K93" s="152"/>
      <c r="L93" s="152"/>
      <c r="M93" s="162">
        <v>1.8049909665763324</v>
      </c>
      <c r="N93" s="152">
        <v>95.300000000000054</v>
      </c>
      <c r="O93" s="163">
        <f t="shared" si="24"/>
        <v>0.17201563911472456</v>
      </c>
      <c r="P93" s="160">
        <f t="shared" si="20"/>
        <v>1.4374614777701562</v>
      </c>
      <c r="Q93" s="152">
        <v>48.499999999999986</v>
      </c>
      <c r="R93" s="170">
        <v>38.292451999999997</v>
      </c>
      <c r="S93" s="165">
        <f t="shared" si="25"/>
        <v>75.242694342268095</v>
      </c>
      <c r="T93" s="171">
        <v>0.20388907984815133</v>
      </c>
      <c r="U93" s="152"/>
      <c r="V93" s="152"/>
      <c r="W93" s="186"/>
      <c r="X93" s="152"/>
      <c r="Y93" s="152"/>
      <c r="Z93" s="152"/>
      <c r="AA93" s="191">
        <v>64.450000000011642</v>
      </c>
      <c r="AB93" s="152"/>
      <c r="AC93" s="152"/>
      <c r="AD93" s="185"/>
      <c r="AE93" s="153"/>
      <c r="AF93" s="152"/>
      <c r="AG93" s="152"/>
      <c r="AH93" s="152"/>
      <c r="AI93" s="152"/>
      <c r="AJ93" s="152"/>
    </row>
    <row r="94" spans="1:36" x14ac:dyDescent="0.3">
      <c r="A94" s="157" t="s">
        <v>47</v>
      </c>
      <c r="B94" s="152" t="s">
        <v>511</v>
      </c>
      <c r="C94" s="157" t="s">
        <v>186</v>
      </c>
      <c r="D94" s="173">
        <v>262.78264223722277</v>
      </c>
      <c r="E94" s="152"/>
      <c r="F94" s="160">
        <v>152.25885528816855</v>
      </c>
      <c r="G94" s="160">
        <f t="shared" si="21"/>
        <v>104.17182062331662</v>
      </c>
      <c r="H94" s="160">
        <f t="shared" si="22"/>
        <v>158.61082161390615</v>
      </c>
      <c r="I94" s="174">
        <v>145</v>
      </c>
      <c r="J94" s="161">
        <f t="shared" si="23"/>
        <v>303.61082161390618</v>
      </c>
      <c r="K94" s="152"/>
      <c r="L94" s="152"/>
      <c r="M94" s="162">
        <v>6.152890695573622</v>
      </c>
      <c r="N94" s="152">
        <v>95.600000000000136</v>
      </c>
      <c r="O94" s="163">
        <f t="shared" si="24"/>
        <v>0.58821635049683918</v>
      </c>
      <c r="P94" s="160">
        <f t="shared" si="20"/>
        <v>5.6465975825057209</v>
      </c>
      <c r="Q94" s="152">
        <v>47.899999999999942</v>
      </c>
      <c r="R94" s="170">
        <v>28.969883999999997</v>
      </c>
      <c r="S94" s="165">
        <f t="shared" si="25"/>
        <v>57.818808150313302</v>
      </c>
      <c r="T94" s="171">
        <v>0.20381097284690294</v>
      </c>
      <c r="U94" s="152"/>
      <c r="V94" s="152"/>
      <c r="W94" s="188"/>
      <c r="X94" s="152"/>
      <c r="Y94" s="152"/>
      <c r="Z94" s="152"/>
      <c r="AA94" s="191">
        <v>64.450000000011642</v>
      </c>
      <c r="AB94" s="152"/>
      <c r="AC94" s="152"/>
      <c r="AD94" s="185"/>
      <c r="AE94" s="153"/>
      <c r="AF94" s="152"/>
      <c r="AG94" s="152"/>
      <c r="AH94" s="152"/>
      <c r="AI94" s="152"/>
      <c r="AJ94" s="152"/>
    </row>
    <row r="95" spans="1:36" x14ac:dyDescent="0.3">
      <c r="A95" s="157" t="s">
        <v>48</v>
      </c>
      <c r="B95" s="152" t="s">
        <v>511</v>
      </c>
      <c r="C95" s="157" t="s">
        <v>186</v>
      </c>
      <c r="D95" s="173">
        <v>258.95220729366605</v>
      </c>
      <c r="E95" s="152"/>
      <c r="F95" s="160">
        <v>150.9345406851557</v>
      </c>
      <c r="G95" s="160">
        <f t="shared" si="21"/>
        <v>103.19512275457129</v>
      </c>
      <c r="H95" s="160">
        <f t="shared" si="22"/>
        <v>155.75708453909476</v>
      </c>
      <c r="I95" s="174">
        <v>148</v>
      </c>
      <c r="J95" s="161">
        <f t="shared" si="23"/>
        <v>303.75708453909476</v>
      </c>
      <c r="K95" s="152"/>
      <c r="L95" s="152"/>
      <c r="M95" s="162">
        <v>9.8244128274616074</v>
      </c>
      <c r="N95" s="152">
        <v>95.400000000000034</v>
      </c>
      <c r="O95" s="163">
        <f t="shared" si="24"/>
        <v>0.93724898373983767</v>
      </c>
      <c r="P95" s="160">
        <f t="shared" si="20"/>
        <v>9.0822992281223858</v>
      </c>
      <c r="Q95" s="152">
        <v>47.599999999999973</v>
      </c>
      <c r="R95" s="170">
        <v>10.034835999999999</v>
      </c>
      <c r="S95" s="165">
        <f t="shared" si="25"/>
        <v>20.111835176470603</v>
      </c>
      <c r="T95" s="171">
        <v>0.20495888418196409</v>
      </c>
      <c r="U95" s="152"/>
      <c r="V95" s="152"/>
      <c r="W95" s="186"/>
      <c r="X95" s="152"/>
      <c r="Y95" s="152"/>
      <c r="Z95" s="152"/>
      <c r="AA95" s="191">
        <v>64.450000000011642</v>
      </c>
      <c r="AB95" s="152"/>
      <c r="AC95" s="152"/>
      <c r="AD95" s="185"/>
      <c r="AE95" s="153"/>
      <c r="AF95" s="152"/>
      <c r="AG95" s="152"/>
      <c r="AH95" s="152"/>
      <c r="AI95" s="152"/>
      <c r="AJ95" s="152"/>
    </row>
    <row r="96" spans="1:36" x14ac:dyDescent="0.3">
      <c r="A96" s="157" t="s">
        <v>49</v>
      </c>
      <c r="B96" s="152" t="s">
        <v>511</v>
      </c>
      <c r="C96" s="157" t="s">
        <v>186</v>
      </c>
      <c r="D96" s="173">
        <v>281.56222826086957</v>
      </c>
      <c r="E96" s="152"/>
      <c r="F96" s="160">
        <v>151.7298724153101</v>
      </c>
      <c r="G96" s="160">
        <f t="shared" si="21"/>
        <v>111.85093988223268</v>
      </c>
      <c r="H96" s="160">
        <f t="shared" si="22"/>
        <v>169.71128837863688</v>
      </c>
      <c r="I96" s="174">
        <v>151</v>
      </c>
      <c r="J96" s="161">
        <f t="shared" si="23"/>
        <v>320.71128837863688</v>
      </c>
      <c r="K96" s="152"/>
      <c r="L96" s="152"/>
      <c r="M96" s="162">
        <v>11.104900632339657</v>
      </c>
      <c r="N96" s="152">
        <v>95.399999999999935</v>
      </c>
      <c r="O96" s="163">
        <f t="shared" si="24"/>
        <v>1.0594075203252025</v>
      </c>
      <c r="P96" s="160">
        <f t="shared" si="20"/>
        <v>9.471601413815991</v>
      </c>
      <c r="Q96" s="152">
        <v>47.399999999999885</v>
      </c>
      <c r="R96" s="170">
        <v>10.370875999999999</v>
      </c>
      <c r="S96" s="165">
        <f t="shared" si="25"/>
        <v>20.873028911392439</v>
      </c>
      <c r="T96" s="171">
        <v>0.20459494555365548</v>
      </c>
      <c r="U96" s="152"/>
      <c r="V96" s="152"/>
      <c r="W96" s="188"/>
      <c r="X96" s="152"/>
      <c r="Y96" s="152"/>
      <c r="Z96" s="152"/>
      <c r="AA96" s="191">
        <v>64.450000000011642</v>
      </c>
      <c r="AB96" s="152"/>
      <c r="AC96" s="152"/>
      <c r="AD96" s="185"/>
      <c r="AE96" s="153"/>
      <c r="AF96" s="152"/>
      <c r="AG96" s="152"/>
      <c r="AH96" s="152"/>
      <c r="AI96" s="152"/>
      <c r="AJ96" s="152"/>
    </row>
    <row r="97" spans="1:36" x14ac:dyDescent="0.3">
      <c r="A97" s="157" t="s">
        <v>50</v>
      </c>
      <c r="B97" s="152" t="s">
        <v>511</v>
      </c>
      <c r="C97" s="157" t="s">
        <v>186</v>
      </c>
      <c r="D97" s="173">
        <v>295.19027110171123</v>
      </c>
      <c r="E97" s="152"/>
      <c r="F97" s="160">
        <v>254.47385182170396</v>
      </c>
      <c r="G97" s="160">
        <f t="shared" si="21"/>
        <v>83.275612456229453</v>
      </c>
      <c r="H97" s="160">
        <f t="shared" si="22"/>
        <v>211.91465864548178</v>
      </c>
      <c r="I97" s="174">
        <v>148</v>
      </c>
      <c r="J97" s="161">
        <f t="shared" si="23"/>
        <v>359.91465864548178</v>
      </c>
      <c r="K97" s="152"/>
      <c r="L97" s="152"/>
      <c r="M97" s="162">
        <v>8.8075880758807585</v>
      </c>
      <c r="N97" s="152">
        <v>94.000000000000085</v>
      </c>
      <c r="O97" s="163">
        <f t="shared" si="24"/>
        <v>0.827913279132792</v>
      </c>
      <c r="P97" s="160">
        <f t="shared" si="20"/>
        <v>9.9418455741523601</v>
      </c>
      <c r="Q97" s="152">
        <v>47.000000000000043</v>
      </c>
      <c r="R97" s="170">
        <v>14.190323999999999</v>
      </c>
      <c r="S97" s="165">
        <f t="shared" si="25"/>
        <v>28.380647999999994</v>
      </c>
      <c r="T97" s="171">
        <v>0.20426320237952011</v>
      </c>
      <c r="U97" s="152"/>
      <c r="V97" s="152"/>
      <c r="W97" s="186"/>
      <c r="X97" s="152"/>
      <c r="Y97" s="152"/>
      <c r="Z97" s="152"/>
      <c r="AA97" s="191">
        <v>64.450000000011642</v>
      </c>
      <c r="AB97" s="152"/>
      <c r="AC97" s="152"/>
      <c r="AD97" s="185"/>
      <c r="AE97" s="153"/>
      <c r="AF97" s="152"/>
      <c r="AG97" s="152"/>
      <c r="AH97" s="152"/>
      <c r="AI97" s="152"/>
      <c r="AJ97" s="152"/>
    </row>
    <row r="98" spans="1:36" x14ac:dyDescent="0.3">
      <c r="A98" s="157" t="s">
        <v>51</v>
      </c>
      <c r="B98" s="152" t="s">
        <v>511</v>
      </c>
      <c r="C98" s="157" t="s">
        <v>186</v>
      </c>
      <c r="D98" s="173">
        <v>270.64785992217901</v>
      </c>
      <c r="E98" s="152"/>
      <c r="F98" s="160">
        <v>154.6513774934717</v>
      </c>
      <c r="G98" s="160">
        <f t="shared" si="21"/>
        <v>106.28171839719083</v>
      </c>
      <c r="H98" s="160">
        <f t="shared" si="22"/>
        <v>164.36614152498817</v>
      </c>
      <c r="I98" s="174">
        <v>145</v>
      </c>
      <c r="J98" s="161">
        <f t="shared" si="23"/>
        <v>309.36614152498817</v>
      </c>
      <c r="K98" s="152"/>
      <c r="L98" s="152"/>
      <c r="M98" s="162">
        <v>2.2544037940379402</v>
      </c>
      <c r="N98" s="152">
        <v>90.999999999999972</v>
      </c>
      <c r="O98" s="163">
        <f t="shared" si="24"/>
        <v>0.20515074525745247</v>
      </c>
      <c r="P98" s="160">
        <f t="shared" si="20"/>
        <v>1.9302543123246574</v>
      </c>
      <c r="Q98" s="152">
        <f>42.7000000000001-5</f>
        <v>37.700000000000102</v>
      </c>
      <c r="R98" s="170">
        <v>19.250019999999999</v>
      </c>
      <c r="S98" s="165">
        <f t="shared" si="25"/>
        <v>46.465565517241238</v>
      </c>
      <c r="T98" s="171">
        <v>0.20408767050283366</v>
      </c>
      <c r="U98" s="152"/>
      <c r="V98" s="152"/>
      <c r="W98" s="188"/>
      <c r="X98" s="152"/>
      <c r="Y98" s="152"/>
      <c r="Z98" s="152"/>
      <c r="AA98" s="191">
        <v>64.450000000011642</v>
      </c>
      <c r="AB98" s="152"/>
      <c r="AC98" s="152"/>
      <c r="AD98" s="185"/>
      <c r="AE98" s="153"/>
      <c r="AF98" s="152"/>
      <c r="AG98" s="152"/>
      <c r="AH98" s="152"/>
      <c r="AI98" s="152"/>
      <c r="AJ98" s="152"/>
    </row>
    <row r="99" spans="1:36" x14ac:dyDescent="0.3">
      <c r="A99" s="157" t="s">
        <v>52</v>
      </c>
      <c r="B99" s="152" t="s">
        <v>511</v>
      </c>
      <c r="C99" s="157" t="s">
        <v>186</v>
      </c>
      <c r="D99" s="173">
        <v>254.30309477756285</v>
      </c>
      <c r="E99" s="152"/>
      <c r="F99" s="160">
        <v>153.12291848132395</v>
      </c>
      <c r="G99" s="160">
        <f t="shared" si="21"/>
        <v>100.46624632147878</v>
      </c>
      <c r="H99" s="160">
        <f t="shared" si="22"/>
        <v>153.83684845608406</v>
      </c>
      <c r="I99" s="174">
        <v>148</v>
      </c>
      <c r="J99" s="161">
        <f t="shared" si="23"/>
        <v>301.83684845608406</v>
      </c>
      <c r="K99" s="152"/>
      <c r="L99" s="152"/>
      <c r="M99" s="162">
        <v>1.24096657633243</v>
      </c>
      <c r="N99" s="152">
        <v>92.8</v>
      </c>
      <c r="O99" s="163">
        <f t="shared" si="24"/>
        <v>0.1151616982836495</v>
      </c>
      <c r="P99" s="160">
        <f t="shared" si="20"/>
        <v>1.1462725293343519</v>
      </c>
      <c r="Q99" s="152">
        <f>49.2999999999999-5</f>
        <v>44.299999999999898</v>
      </c>
      <c r="R99" s="189">
        <v>24.269563500000004</v>
      </c>
      <c r="S99" s="165">
        <f t="shared" si="25"/>
        <v>50.840078844243919</v>
      </c>
      <c r="T99" s="165">
        <v>0.20699977180726714</v>
      </c>
      <c r="U99" s="152"/>
      <c r="V99" s="152"/>
      <c r="W99" s="186"/>
      <c r="X99" s="152"/>
      <c r="Y99" s="152"/>
      <c r="Z99" s="152"/>
      <c r="AA99" s="191">
        <v>64.450000000011642</v>
      </c>
      <c r="AB99" s="152"/>
      <c r="AC99" s="152"/>
      <c r="AD99" s="185"/>
      <c r="AE99" s="153"/>
      <c r="AF99" s="152"/>
      <c r="AG99" s="152"/>
      <c r="AH99" s="152"/>
      <c r="AI99" s="152"/>
      <c r="AJ99" s="152"/>
    </row>
    <row r="100" spans="1:36" x14ac:dyDescent="0.3">
      <c r="A100" s="157" t="s">
        <v>53</v>
      </c>
      <c r="B100" s="152" t="s">
        <v>511</v>
      </c>
      <c r="C100" s="157" t="s">
        <v>186</v>
      </c>
      <c r="D100" s="173">
        <v>242.95855685681903</v>
      </c>
      <c r="E100" s="152"/>
      <c r="F100" s="160">
        <v>154.84276729559747</v>
      </c>
      <c r="G100" s="160">
        <f t="shared" si="21"/>
        <v>95.336649901861378</v>
      </c>
      <c r="H100" s="160">
        <f t="shared" si="22"/>
        <v>147.62190695495764</v>
      </c>
      <c r="I100" s="174">
        <v>168</v>
      </c>
      <c r="J100" s="161">
        <f t="shared" si="23"/>
        <v>315.62190695495764</v>
      </c>
      <c r="K100" s="152"/>
      <c r="L100" s="152"/>
      <c r="M100" s="162">
        <v>3.3739837398373984</v>
      </c>
      <c r="N100" s="152">
        <v>95.600000000000023</v>
      </c>
      <c r="O100" s="163">
        <f t="shared" si="24"/>
        <v>0.32255284552845537</v>
      </c>
      <c r="P100" s="160">
        <f t="shared" si="20"/>
        <v>3.3833037542276569</v>
      </c>
      <c r="Q100" s="152">
        <v>47.999999999999929</v>
      </c>
      <c r="R100" s="170">
        <v>10.449988000000001</v>
      </c>
      <c r="S100" s="165">
        <f t="shared" si="25"/>
        <v>20.812892766666703</v>
      </c>
      <c r="T100" s="171">
        <v>0.20469964049952419</v>
      </c>
      <c r="U100" s="152"/>
      <c r="V100" s="152"/>
      <c r="W100" s="186"/>
      <c r="X100" s="152"/>
      <c r="Y100" s="152"/>
      <c r="Z100" s="152"/>
      <c r="AA100" s="191">
        <v>64.450000000011642</v>
      </c>
      <c r="AB100" s="152"/>
      <c r="AC100" s="152"/>
      <c r="AD100" s="185"/>
      <c r="AE100" s="153"/>
      <c r="AF100" s="152"/>
      <c r="AG100" s="152"/>
      <c r="AH100" s="152"/>
      <c r="AI100" s="152"/>
      <c r="AJ100" s="152"/>
    </row>
    <row r="101" spans="1:36" x14ac:dyDescent="0.3">
      <c r="A101" s="157" t="s">
        <v>54</v>
      </c>
      <c r="B101" s="152" t="s">
        <v>511</v>
      </c>
      <c r="C101" s="157" t="s">
        <v>186</v>
      </c>
      <c r="D101" s="173">
        <v>277.54172158977428</v>
      </c>
      <c r="E101" s="152"/>
      <c r="F101" s="160">
        <v>155.04667497083949</v>
      </c>
      <c r="G101" s="160">
        <f t="shared" si="21"/>
        <v>108.81997250954427</v>
      </c>
      <c r="H101" s="160">
        <f t="shared" si="22"/>
        <v>168.72174908023001</v>
      </c>
      <c r="I101" s="174">
        <v>139</v>
      </c>
      <c r="J101" s="161">
        <f t="shared" si="23"/>
        <v>307.72174908022998</v>
      </c>
      <c r="K101" s="152"/>
      <c r="L101" s="152"/>
      <c r="M101" s="162">
        <v>9.7860207768744356</v>
      </c>
      <c r="N101" s="152">
        <v>95.500000000000028</v>
      </c>
      <c r="O101" s="163">
        <f t="shared" si="24"/>
        <v>0.93456498419150891</v>
      </c>
      <c r="P101" s="160">
        <f t="shared" si="20"/>
        <v>8.5881751542396412</v>
      </c>
      <c r="Q101" s="152">
        <v>48.200000000000017</v>
      </c>
      <c r="R101" s="170">
        <v>5.6531719999999996</v>
      </c>
      <c r="S101" s="165">
        <f t="shared" si="25"/>
        <v>11.200786846473028</v>
      </c>
      <c r="T101" s="171">
        <v>0.20550457942284872</v>
      </c>
      <c r="U101" s="152"/>
      <c r="V101" s="152"/>
      <c r="W101" s="186"/>
      <c r="X101" s="152"/>
      <c r="Y101" s="152"/>
      <c r="Z101" s="152"/>
      <c r="AA101" s="191">
        <v>64.450000000011642</v>
      </c>
      <c r="AB101" s="152"/>
      <c r="AC101" s="152"/>
      <c r="AD101" s="153"/>
      <c r="AE101" s="153"/>
      <c r="AF101" s="152"/>
      <c r="AG101" s="152"/>
      <c r="AH101" s="152"/>
      <c r="AI101" s="152"/>
      <c r="AJ101" s="152"/>
    </row>
    <row r="102" spans="1:36" x14ac:dyDescent="0.3">
      <c r="A102" s="157" t="s">
        <v>55</v>
      </c>
      <c r="B102" s="152" t="s">
        <v>511</v>
      </c>
      <c r="C102" s="157" t="s">
        <v>186</v>
      </c>
      <c r="D102" s="173">
        <v>264.93767496111974</v>
      </c>
      <c r="E102" s="152"/>
      <c r="F102" s="160">
        <v>251.98050021195422</v>
      </c>
      <c r="G102" s="160">
        <f t="shared" si="21"/>
        <v>75.270554704473867</v>
      </c>
      <c r="H102" s="160">
        <f t="shared" si="22"/>
        <v>189.66712025664589</v>
      </c>
      <c r="I102" s="174">
        <v>153</v>
      </c>
      <c r="J102" s="161">
        <f t="shared" si="23"/>
        <v>342.66712025664589</v>
      </c>
      <c r="K102" s="152"/>
      <c r="L102" s="152"/>
      <c r="M102" s="162">
        <v>13.73757904245709</v>
      </c>
      <c r="N102" s="152">
        <v>95.599999999999909</v>
      </c>
      <c r="O102" s="163">
        <f t="shared" si="24"/>
        <v>1.3133125564588966</v>
      </c>
      <c r="P102" s="160">
        <f t="shared" si="20"/>
        <v>17.44789262700673</v>
      </c>
      <c r="Q102" s="152">
        <v>49.800000000000068</v>
      </c>
      <c r="R102" s="170">
        <v>7.3033640000000002</v>
      </c>
      <c r="S102" s="165">
        <f t="shared" si="25"/>
        <v>14.020112417670651</v>
      </c>
      <c r="T102" s="171">
        <v>0.20523162868557851</v>
      </c>
      <c r="U102" s="152"/>
      <c r="V102" s="152"/>
      <c r="W102" s="188"/>
      <c r="X102" s="152"/>
      <c r="Y102" s="152"/>
      <c r="Z102" s="152"/>
      <c r="AA102" s="191">
        <v>64.450000000011642</v>
      </c>
      <c r="AB102" s="152"/>
      <c r="AC102" s="152"/>
      <c r="AD102" s="153"/>
      <c r="AE102" s="153"/>
      <c r="AF102" s="152"/>
      <c r="AG102" s="152"/>
      <c r="AH102" s="152"/>
      <c r="AI102" s="152"/>
      <c r="AJ102" s="152"/>
    </row>
    <row r="103" spans="1:36" x14ac:dyDescent="0.3">
      <c r="A103" s="157" t="s">
        <v>56</v>
      </c>
      <c r="B103" s="152" t="s">
        <v>511</v>
      </c>
      <c r="C103" s="157" t="s">
        <v>186</v>
      </c>
      <c r="D103" s="173">
        <v>264.82176447726391</v>
      </c>
      <c r="E103" s="152"/>
      <c r="F103" s="160">
        <v>153.65613296774453</v>
      </c>
      <c r="G103" s="160">
        <f t="shared" si="21"/>
        <v>104.40187721025426</v>
      </c>
      <c r="H103" s="160">
        <f t="shared" si="22"/>
        <v>160.41988726700964</v>
      </c>
      <c r="I103" s="174">
        <v>151</v>
      </c>
      <c r="J103" s="161">
        <f t="shared" si="23"/>
        <v>311.41988726700964</v>
      </c>
      <c r="K103" s="152"/>
      <c r="L103" s="152"/>
      <c r="M103" s="162">
        <v>4.5325203252032518</v>
      </c>
      <c r="N103" s="152">
        <v>93.999999999999972</v>
      </c>
      <c r="O103" s="163">
        <f t="shared" si="24"/>
        <v>0.42605691056910555</v>
      </c>
      <c r="P103" s="160">
        <f t="shared" si="20"/>
        <v>4.080931511519398</v>
      </c>
      <c r="Q103" s="152">
        <v>48.500000000000099</v>
      </c>
      <c r="R103" s="170">
        <v>12.125971999999999</v>
      </c>
      <c r="S103" s="165">
        <f t="shared" si="25"/>
        <v>23.501883876288606</v>
      </c>
      <c r="T103" s="171">
        <v>0.20469756322098828</v>
      </c>
      <c r="U103" s="152"/>
      <c r="V103" s="152"/>
      <c r="W103" s="186"/>
      <c r="X103" s="152"/>
      <c r="Y103" s="152"/>
      <c r="Z103" s="152"/>
      <c r="AA103" s="191">
        <v>64.450000000011642</v>
      </c>
      <c r="AB103" s="152"/>
      <c r="AC103" s="152"/>
      <c r="AD103" s="153"/>
      <c r="AE103" s="153"/>
      <c r="AF103" s="152"/>
      <c r="AG103" s="152"/>
      <c r="AH103" s="152"/>
      <c r="AI103" s="152"/>
      <c r="AJ103" s="152"/>
    </row>
    <row r="104" spans="1:36" x14ac:dyDescent="0.3">
      <c r="A104" s="157" t="s">
        <v>57</v>
      </c>
      <c r="B104" s="152" t="s">
        <v>511</v>
      </c>
      <c r="C104" s="157" t="s">
        <v>186</v>
      </c>
      <c r="D104" s="173">
        <v>276.44374412041395</v>
      </c>
      <c r="E104" s="152"/>
      <c r="F104" s="160">
        <v>152.37540460503661</v>
      </c>
      <c r="G104" s="160">
        <f t="shared" si="21"/>
        <v>109.53672151731422</v>
      </c>
      <c r="H104" s="160">
        <f t="shared" si="22"/>
        <v>166.90702260309973</v>
      </c>
      <c r="I104" s="174">
        <v>165</v>
      </c>
      <c r="J104" s="161">
        <f t="shared" si="23"/>
        <v>331.90702260309973</v>
      </c>
      <c r="K104" s="152"/>
      <c r="L104" s="152"/>
      <c r="M104" s="162">
        <v>1.6683604336043361</v>
      </c>
      <c r="N104" s="152">
        <v>94.899999999999977</v>
      </c>
      <c r="O104" s="163">
        <f t="shared" si="24"/>
        <v>0.15832740514905147</v>
      </c>
      <c r="P104" s="160">
        <f t="shared" ref="P104:P119" si="26">O104/(G104/1000)</f>
        <v>1.4454276424917922</v>
      </c>
      <c r="Q104" s="152">
        <v>47.799999999999955</v>
      </c>
      <c r="R104" s="189">
        <v>17.001229700000003</v>
      </c>
      <c r="S104" s="165">
        <f t="shared" si="25"/>
        <v>33.753487416945639</v>
      </c>
      <c r="T104" s="165">
        <v>0.21079318643695028</v>
      </c>
      <c r="U104" s="152"/>
      <c r="V104" s="152"/>
      <c r="W104" s="188"/>
      <c r="X104" s="152"/>
      <c r="Y104" s="152"/>
      <c r="Z104" s="152"/>
      <c r="AA104" s="191">
        <v>64.450000000011642</v>
      </c>
      <c r="AB104" s="152"/>
      <c r="AC104" s="152"/>
      <c r="AD104" s="153"/>
      <c r="AE104" s="153"/>
      <c r="AF104" s="152"/>
      <c r="AG104" s="152"/>
      <c r="AH104" s="152"/>
      <c r="AI104" s="152"/>
      <c r="AJ104" s="152"/>
    </row>
    <row r="105" spans="1:36" x14ac:dyDescent="0.3">
      <c r="A105" s="157" t="s">
        <v>58</v>
      </c>
      <c r="B105" s="152" t="s">
        <v>511</v>
      </c>
      <c r="C105" s="157" t="s">
        <v>186</v>
      </c>
      <c r="D105" s="173">
        <v>275.96752236483854</v>
      </c>
      <c r="E105" s="152"/>
      <c r="F105" s="160">
        <v>154.77040971476075</v>
      </c>
      <c r="G105" s="160">
        <f t="shared" si="21"/>
        <v>108.32008421771191</v>
      </c>
      <c r="H105" s="160">
        <f t="shared" si="22"/>
        <v>167.64743814712665</v>
      </c>
      <c r="I105" s="174">
        <v>148</v>
      </c>
      <c r="J105" s="161">
        <f t="shared" si="23"/>
        <v>315.64743814712665</v>
      </c>
      <c r="K105" s="152"/>
      <c r="L105" s="152"/>
      <c r="M105" s="162">
        <v>3.5309394760614272</v>
      </c>
      <c r="N105" s="152">
        <v>94.400000000000034</v>
      </c>
      <c r="O105" s="163">
        <f t="shared" si="24"/>
        <v>0.33332068654019886</v>
      </c>
      <c r="P105" s="160">
        <f t="shared" si="26"/>
        <v>3.0771826752854023</v>
      </c>
      <c r="Q105" s="152">
        <v>49.099999999999923</v>
      </c>
      <c r="R105" s="170">
        <v>7.5374759999999998</v>
      </c>
      <c r="S105" s="165">
        <f t="shared" si="25"/>
        <v>14.491603551934853</v>
      </c>
      <c r="T105" s="171">
        <v>0.20544703970365361</v>
      </c>
      <c r="U105" s="152"/>
      <c r="V105" s="152"/>
      <c r="W105" s="186"/>
      <c r="X105" s="152"/>
      <c r="Y105" s="152"/>
      <c r="Z105" s="152"/>
      <c r="AA105" s="191">
        <v>64.450000000011642</v>
      </c>
      <c r="AB105" s="152"/>
      <c r="AC105" s="152"/>
      <c r="AD105" s="153"/>
      <c r="AE105" s="153"/>
      <c r="AF105" s="152"/>
      <c r="AG105" s="152"/>
      <c r="AH105" s="152"/>
      <c r="AI105" s="152"/>
      <c r="AJ105" s="152"/>
    </row>
    <row r="106" spans="1:36" x14ac:dyDescent="0.3">
      <c r="A106" s="157" t="s">
        <v>59</v>
      </c>
      <c r="B106" s="152" t="s">
        <v>511</v>
      </c>
      <c r="C106" s="157" t="s">
        <v>186</v>
      </c>
      <c r="D106" s="173">
        <v>305.45755166931644</v>
      </c>
      <c r="E106" s="152"/>
      <c r="F106" s="160">
        <v>155.47628857706769</v>
      </c>
      <c r="G106" s="160">
        <f t="shared" si="21"/>
        <v>119.5639538098156</v>
      </c>
      <c r="H106" s="160">
        <f t="shared" si="22"/>
        <v>185.89359785950086</v>
      </c>
      <c r="I106" s="174">
        <v>140</v>
      </c>
      <c r="J106" s="161">
        <f t="shared" si="23"/>
        <v>325.89359785950086</v>
      </c>
      <c r="K106" s="152"/>
      <c r="L106" s="152"/>
      <c r="M106" s="162">
        <v>3.5800070646414697</v>
      </c>
      <c r="N106" s="152">
        <v>94.29999999999994</v>
      </c>
      <c r="O106" s="163">
        <f t="shared" si="24"/>
        <v>0.33759466619569034</v>
      </c>
      <c r="P106" s="160">
        <f t="shared" si="26"/>
        <v>2.8235488660126218</v>
      </c>
      <c r="Q106" s="152">
        <v>48.300000000000011</v>
      </c>
      <c r="R106" s="170">
        <v>17.470867999999999</v>
      </c>
      <c r="S106" s="165">
        <f t="shared" si="25"/>
        <v>34.109789904761875</v>
      </c>
      <c r="T106" s="171">
        <v>0.20379871668401364</v>
      </c>
      <c r="U106" s="152"/>
      <c r="V106" s="152"/>
      <c r="W106" s="186"/>
      <c r="X106" s="152"/>
      <c r="Y106" s="152"/>
      <c r="Z106" s="152"/>
      <c r="AA106" s="166">
        <v>64.283333333325572</v>
      </c>
      <c r="AB106" s="152"/>
      <c r="AC106" s="152"/>
      <c r="AD106" s="153"/>
      <c r="AE106" s="153"/>
      <c r="AF106" s="152"/>
      <c r="AG106" s="152"/>
      <c r="AH106" s="152"/>
      <c r="AI106" s="152"/>
      <c r="AJ106" s="152"/>
    </row>
    <row r="107" spans="1:36" x14ac:dyDescent="0.3">
      <c r="A107" s="157" t="s">
        <v>60</v>
      </c>
      <c r="B107" s="152" t="s">
        <v>511</v>
      </c>
      <c r="C107" s="157" t="s">
        <v>186</v>
      </c>
      <c r="D107" s="173">
        <v>356.52473118279568</v>
      </c>
      <c r="E107" s="152"/>
      <c r="F107" s="160">
        <v>255.33643419644179</v>
      </c>
      <c r="G107" s="160">
        <f t="shared" si="21"/>
        <v>100.33441462006031</v>
      </c>
      <c r="H107" s="160">
        <f t="shared" si="22"/>
        <v>256.19031656273535</v>
      </c>
      <c r="I107" s="174">
        <v>135</v>
      </c>
      <c r="J107" s="161">
        <f t="shared" si="23"/>
        <v>391.19031656273535</v>
      </c>
      <c r="K107" s="152"/>
      <c r="L107" s="152"/>
      <c r="M107" s="162">
        <v>8.4290003532320732</v>
      </c>
      <c r="N107" s="152">
        <v>96.399999999999935</v>
      </c>
      <c r="O107" s="163">
        <f t="shared" si="24"/>
        <v>0.81255563405157138</v>
      </c>
      <c r="P107" s="160">
        <f t="shared" si="26"/>
        <v>8.0984738599263562</v>
      </c>
      <c r="Q107" s="152">
        <v>49.10000000000003</v>
      </c>
      <c r="R107" s="170">
        <v>7.021388</v>
      </c>
      <c r="S107" s="165">
        <f t="shared" si="25"/>
        <v>13.785372773930735</v>
      </c>
      <c r="T107" s="171">
        <v>0.20559597811837493</v>
      </c>
      <c r="U107" s="152"/>
      <c r="V107" s="152"/>
      <c r="W107" s="188"/>
      <c r="X107" s="152"/>
      <c r="Y107" s="152"/>
      <c r="Z107" s="152"/>
      <c r="AA107" s="166">
        <v>64.283333333325572</v>
      </c>
      <c r="AB107" s="152"/>
      <c r="AC107" s="152"/>
      <c r="AD107" s="153"/>
      <c r="AE107" s="153"/>
      <c r="AF107" s="152"/>
      <c r="AG107" s="152"/>
      <c r="AH107" s="152"/>
      <c r="AI107" s="152"/>
      <c r="AJ107" s="152"/>
    </row>
    <row r="108" spans="1:36" x14ac:dyDescent="0.3">
      <c r="A108" s="157" t="s">
        <v>61</v>
      </c>
      <c r="B108" s="152" t="s">
        <v>511</v>
      </c>
      <c r="C108" s="157" t="s">
        <v>186</v>
      </c>
      <c r="D108" s="173">
        <v>283.93800592300101</v>
      </c>
      <c r="E108" s="152"/>
      <c r="F108" s="160">
        <v>156.88306104901108</v>
      </c>
      <c r="G108" s="160">
        <f t="shared" si="21"/>
        <v>110.53200812988914</v>
      </c>
      <c r="H108" s="160">
        <f t="shared" si="22"/>
        <v>173.40599779311188</v>
      </c>
      <c r="I108" s="174">
        <v>140</v>
      </c>
      <c r="J108" s="161">
        <f t="shared" si="23"/>
        <v>313.40599779311185</v>
      </c>
      <c r="K108" s="152"/>
      <c r="L108" s="152"/>
      <c r="M108" s="162">
        <v>1.6746143883197928</v>
      </c>
      <c r="N108" s="152">
        <v>95.7</v>
      </c>
      <c r="O108" s="163">
        <f t="shared" si="24"/>
        <v>0.16026059696220418</v>
      </c>
      <c r="P108" s="160">
        <f t="shared" si="26"/>
        <v>1.4499021566122063</v>
      </c>
      <c r="Q108" s="152">
        <v>48.10000000000003</v>
      </c>
      <c r="R108" s="170">
        <v>10.518932</v>
      </c>
      <c r="S108" s="165">
        <f t="shared" si="25"/>
        <v>20.928519592515578</v>
      </c>
      <c r="T108" s="171">
        <v>0.20452514880103723</v>
      </c>
      <c r="U108" s="152"/>
      <c r="V108" s="152"/>
      <c r="W108" s="188"/>
      <c r="X108" s="152"/>
      <c r="Y108" s="152"/>
      <c r="Z108" s="152"/>
      <c r="AA108" s="166">
        <v>64.283333333325572</v>
      </c>
      <c r="AB108" s="152"/>
      <c r="AC108" s="152"/>
      <c r="AD108" s="153"/>
      <c r="AE108" s="153"/>
      <c r="AF108" s="152"/>
      <c r="AG108" s="152"/>
      <c r="AH108" s="152"/>
      <c r="AI108" s="152"/>
      <c r="AJ108" s="152"/>
    </row>
    <row r="109" spans="1:36" x14ac:dyDescent="0.3">
      <c r="A109" s="157" t="s">
        <v>62</v>
      </c>
      <c r="B109" s="152" t="s">
        <v>511</v>
      </c>
      <c r="C109" s="157" t="s">
        <v>186</v>
      </c>
      <c r="D109" s="173">
        <v>281.847713950762</v>
      </c>
      <c r="E109" s="152"/>
      <c r="F109" s="160">
        <v>153.51059709575367</v>
      </c>
      <c r="G109" s="160">
        <f t="shared" si="21"/>
        <v>111.17788257360503</v>
      </c>
      <c r="H109" s="160">
        <f t="shared" si="22"/>
        <v>170.66983137715698</v>
      </c>
      <c r="I109" s="174">
        <v>150</v>
      </c>
      <c r="J109" s="161">
        <f t="shared" si="23"/>
        <v>320.66983137715698</v>
      </c>
      <c r="K109" s="152"/>
      <c r="L109" s="152"/>
      <c r="M109" s="162">
        <v>0.61933356882138235</v>
      </c>
      <c r="N109" s="152">
        <v>92.600000000000023</v>
      </c>
      <c r="O109" s="163">
        <f t="shared" si="24"/>
        <v>5.7350288472860021E-2</v>
      </c>
      <c r="P109" s="160">
        <f t="shared" si="26"/>
        <v>0.51584260416986638</v>
      </c>
      <c r="Q109" s="152">
        <v>48.200000000000131</v>
      </c>
      <c r="R109" s="170">
        <v>68.604499999999987</v>
      </c>
      <c r="S109" s="165">
        <f t="shared" si="25"/>
        <v>131.8003464730287</v>
      </c>
      <c r="T109" s="171">
        <v>0.20326110440729797</v>
      </c>
      <c r="U109" s="152"/>
      <c r="V109" s="152"/>
      <c r="W109" s="186"/>
      <c r="X109" s="152"/>
      <c r="Y109" s="152"/>
      <c r="Z109" s="152"/>
      <c r="AA109" s="166">
        <v>64.283333333325572</v>
      </c>
      <c r="AB109" s="152"/>
      <c r="AC109" s="152"/>
      <c r="AD109" s="153"/>
      <c r="AE109" s="153"/>
      <c r="AF109" s="152"/>
      <c r="AG109" s="152"/>
      <c r="AH109" s="152"/>
      <c r="AI109" s="152"/>
      <c r="AJ109" s="152"/>
    </row>
    <row r="110" spans="1:36" x14ac:dyDescent="0.3">
      <c r="A110" s="157" t="s">
        <v>63</v>
      </c>
      <c r="B110" s="152" t="s">
        <v>511</v>
      </c>
      <c r="C110" s="157" t="s">
        <v>186</v>
      </c>
      <c r="D110" s="173">
        <v>293.53720175606031</v>
      </c>
      <c r="E110" s="152"/>
      <c r="F110" s="160">
        <v>151.03665778961377</v>
      </c>
      <c r="G110" s="160">
        <f t="shared" si="21"/>
        <v>116.93001505862343</v>
      </c>
      <c r="H110" s="160">
        <f t="shared" si="22"/>
        <v>176.60718669743687</v>
      </c>
      <c r="I110" s="174">
        <v>160</v>
      </c>
      <c r="J110" s="161">
        <f t="shared" si="23"/>
        <v>336.60718669743687</v>
      </c>
      <c r="K110" s="152"/>
      <c r="L110" s="152"/>
      <c r="M110" s="162">
        <v>1.1665489226421759</v>
      </c>
      <c r="N110" s="152">
        <v>95.399999999999935</v>
      </c>
      <c r="O110" s="163">
        <f t="shared" si="24"/>
        <v>0.11128876722006351</v>
      </c>
      <c r="P110" s="160">
        <f t="shared" si="26"/>
        <v>0.95175534839594733</v>
      </c>
      <c r="Q110" s="152">
        <v>48.4</v>
      </c>
      <c r="R110" s="170">
        <v>7.809531999999999</v>
      </c>
      <c r="S110" s="165">
        <f t="shared" si="25"/>
        <v>15.393168446280979</v>
      </c>
      <c r="T110" s="171">
        <v>0.20518322858924967</v>
      </c>
      <c r="U110" s="152"/>
      <c r="V110" s="152"/>
      <c r="W110" s="186"/>
      <c r="X110" s="152"/>
      <c r="Y110" s="152"/>
      <c r="Z110" s="152"/>
      <c r="AA110" s="166">
        <v>64.283333333325572</v>
      </c>
      <c r="AB110" s="152"/>
      <c r="AC110" s="152"/>
      <c r="AD110" s="153"/>
      <c r="AE110" s="153"/>
      <c r="AF110" s="152"/>
      <c r="AG110" s="152"/>
      <c r="AH110" s="152"/>
      <c r="AI110" s="152"/>
      <c r="AJ110" s="152"/>
    </row>
    <row r="111" spans="1:36" x14ac:dyDescent="0.3">
      <c r="A111" s="157" t="s">
        <v>64</v>
      </c>
      <c r="B111" s="152" t="s">
        <v>511</v>
      </c>
      <c r="C111" s="157" t="s">
        <v>186</v>
      </c>
      <c r="D111" s="173">
        <v>278.0751014385836</v>
      </c>
      <c r="E111" s="152"/>
      <c r="F111" s="160">
        <v>152.16307546758284</v>
      </c>
      <c r="G111" s="160">
        <f t="shared" si="21"/>
        <v>110.27590019789868</v>
      </c>
      <c r="H111" s="160">
        <f t="shared" si="22"/>
        <v>167.79920124068491</v>
      </c>
      <c r="I111" s="174">
        <v>175</v>
      </c>
      <c r="J111" s="161">
        <f t="shared" si="23"/>
        <v>342.79920124068491</v>
      </c>
      <c r="K111" s="152"/>
      <c r="L111" s="152"/>
      <c r="M111" s="162">
        <v>2.4985281996938657</v>
      </c>
      <c r="N111" s="152">
        <v>94.999999999999972</v>
      </c>
      <c r="O111" s="163">
        <f t="shared" si="24"/>
        <v>0.23736017897091716</v>
      </c>
      <c r="P111" s="160">
        <f t="shared" si="26"/>
        <v>2.1524211413822592</v>
      </c>
      <c r="Q111" s="152">
        <v>48.400000000000112</v>
      </c>
      <c r="R111" s="170">
        <v>6.6679879999999994</v>
      </c>
      <c r="S111" s="165">
        <f t="shared" si="25"/>
        <v>13.087992975206575</v>
      </c>
      <c r="T111" s="171">
        <v>0.20526922701127023</v>
      </c>
      <c r="U111" s="152"/>
      <c r="V111" s="152"/>
      <c r="W111" s="186"/>
      <c r="X111" s="152"/>
      <c r="Y111" s="152"/>
      <c r="Z111" s="152"/>
      <c r="AA111" s="166">
        <v>64.283333333325572</v>
      </c>
      <c r="AB111" s="152"/>
      <c r="AC111" s="152"/>
      <c r="AD111" s="153"/>
      <c r="AE111" s="153"/>
      <c r="AF111" s="152"/>
      <c r="AG111" s="152"/>
      <c r="AH111" s="152"/>
      <c r="AI111" s="152"/>
      <c r="AJ111" s="152"/>
    </row>
    <row r="112" spans="1:36" x14ac:dyDescent="0.3">
      <c r="A112" s="157" t="s">
        <v>7</v>
      </c>
      <c r="B112" s="152" t="s">
        <v>511</v>
      </c>
      <c r="C112" s="157" t="s">
        <v>186</v>
      </c>
      <c r="D112" s="173">
        <v>295.96601905473563</v>
      </c>
      <c r="E112" s="152"/>
      <c r="F112" s="160">
        <v>156.75593029170102</v>
      </c>
      <c r="G112" s="160">
        <f t="shared" si="21"/>
        <v>115.27134688514805</v>
      </c>
      <c r="H112" s="160">
        <f t="shared" si="22"/>
        <v>180.69467216958759</v>
      </c>
      <c r="I112" s="174">
        <v>170</v>
      </c>
      <c r="J112" s="161">
        <f t="shared" si="23"/>
        <v>350.69467216958759</v>
      </c>
      <c r="K112" s="152"/>
      <c r="L112" s="152"/>
      <c r="M112" s="162">
        <v>0.48068997998351587</v>
      </c>
      <c r="N112" s="152">
        <v>94.899999999999878</v>
      </c>
      <c r="O112" s="163">
        <f t="shared" si="24"/>
        <v>4.5617479100435593E-2</v>
      </c>
      <c r="P112" s="160">
        <f t="shared" si="26"/>
        <v>0.39573996776395004</v>
      </c>
      <c r="Q112" s="152">
        <v>48.19999999999991</v>
      </c>
      <c r="R112" s="170">
        <v>16.482588</v>
      </c>
      <c r="S112" s="165">
        <f t="shared" si="25"/>
        <v>32.452232390041509</v>
      </c>
      <c r="T112" s="171">
        <v>0.20440383516535898</v>
      </c>
      <c r="U112" s="152"/>
      <c r="V112" s="152"/>
      <c r="W112" s="188"/>
      <c r="X112" s="152"/>
      <c r="Y112" s="152"/>
      <c r="Z112" s="152"/>
      <c r="AA112" s="166">
        <v>64.283333333325572</v>
      </c>
      <c r="AB112" s="152"/>
      <c r="AC112" s="152"/>
      <c r="AD112" s="153"/>
      <c r="AE112" s="153"/>
      <c r="AF112" s="152"/>
      <c r="AG112" s="152"/>
      <c r="AH112" s="152"/>
      <c r="AI112" s="152"/>
      <c r="AJ112" s="152"/>
    </row>
    <row r="113" spans="1:36" x14ac:dyDescent="0.3">
      <c r="A113" s="157" t="s">
        <v>8</v>
      </c>
      <c r="B113" s="152" t="s">
        <v>511</v>
      </c>
      <c r="C113" s="157" t="s">
        <v>186</v>
      </c>
      <c r="D113" s="173">
        <v>277.96616961789374</v>
      </c>
      <c r="E113" s="152"/>
      <c r="F113" s="160">
        <v>151.20188375392581</v>
      </c>
      <c r="G113" s="160">
        <f t="shared" si="21"/>
        <v>110.65449249981975</v>
      </c>
      <c r="H113" s="160">
        <f t="shared" si="22"/>
        <v>167.31167711807399</v>
      </c>
      <c r="I113" s="174">
        <v>170</v>
      </c>
      <c r="J113" s="161">
        <f t="shared" si="23"/>
        <v>337.31167711807399</v>
      </c>
      <c r="K113" s="152"/>
      <c r="L113" s="152"/>
      <c r="M113" s="162">
        <v>0.44801601318733075</v>
      </c>
      <c r="N113" s="152">
        <v>94.700000000000117</v>
      </c>
      <c r="O113" s="163">
        <f t="shared" si="24"/>
        <v>4.2427116448840271E-2</v>
      </c>
      <c r="P113" s="160">
        <f t="shared" si="26"/>
        <v>0.38341973733158086</v>
      </c>
      <c r="Q113" s="152">
        <v>48.1</v>
      </c>
      <c r="R113" s="170">
        <v>6.0410439999999994</v>
      </c>
      <c r="S113" s="165">
        <f t="shared" si="25"/>
        <v>11.893697854469867</v>
      </c>
      <c r="T113" s="171">
        <v>0.20603531269331607</v>
      </c>
      <c r="U113" s="152"/>
      <c r="V113" s="152"/>
      <c r="W113" s="188"/>
      <c r="X113" s="152"/>
      <c r="Y113" s="152"/>
      <c r="Z113" s="152"/>
      <c r="AA113" s="166">
        <v>64.283333333325572</v>
      </c>
      <c r="AB113" s="152"/>
      <c r="AC113" s="152"/>
      <c r="AD113" s="153"/>
      <c r="AE113" s="153"/>
      <c r="AF113" s="152"/>
      <c r="AG113" s="152"/>
      <c r="AH113" s="152"/>
      <c r="AI113" s="152"/>
      <c r="AJ113" s="152"/>
    </row>
    <row r="114" spans="1:36" x14ac:dyDescent="0.3">
      <c r="A114" s="157" t="s">
        <v>12</v>
      </c>
      <c r="B114" s="152" t="s">
        <v>511</v>
      </c>
      <c r="C114" s="157" t="s">
        <v>186</v>
      </c>
      <c r="D114" s="173">
        <v>286.08869277440709</v>
      </c>
      <c r="E114" s="152"/>
      <c r="F114" s="160">
        <v>153.19529114988435</v>
      </c>
      <c r="G114" s="160">
        <f t="shared" si="21"/>
        <v>112.99131649531776</v>
      </c>
      <c r="H114" s="160">
        <f t="shared" si="22"/>
        <v>173.09737627908933</v>
      </c>
      <c r="I114" s="174">
        <v>180</v>
      </c>
      <c r="J114" s="161">
        <f t="shared" si="23"/>
        <v>353.0973762790893</v>
      </c>
      <c r="K114" s="152"/>
      <c r="L114" s="152"/>
      <c r="M114" s="162">
        <v>1.3599434828682444</v>
      </c>
      <c r="N114" s="152">
        <v>95.400000000000034</v>
      </c>
      <c r="O114" s="163">
        <f t="shared" si="24"/>
        <v>0.12973860826563058</v>
      </c>
      <c r="P114" s="160">
        <f t="shared" si="26"/>
        <v>1.1482175116616753</v>
      </c>
      <c r="Q114" s="152">
        <v>46.000000000000043</v>
      </c>
      <c r="R114" s="170">
        <v>2.989404</v>
      </c>
      <c r="S114" s="165">
        <f t="shared" si="25"/>
        <v>6.1997639478260833</v>
      </c>
      <c r="T114" s="171">
        <v>0.20712563507453377</v>
      </c>
      <c r="U114" s="152"/>
      <c r="V114" s="152"/>
      <c r="W114" s="188"/>
      <c r="X114" s="152"/>
      <c r="Y114" s="152"/>
      <c r="Z114" s="152"/>
      <c r="AA114" s="166">
        <v>64.283333333325572</v>
      </c>
      <c r="AB114" s="152"/>
      <c r="AC114" s="152"/>
      <c r="AD114" s="153"/>
      <c r="AE114" s="153"/>
      <c r="AF114" s="152"/>
      <c r="AG114" s="152"/>
      <c r="AH114" s="152"/>
      <c r="AI114" s="152"/>
      <c r="AJ114" s="152"/>
    </row>
    <row r="115" spans="1:36" x14ac:dyDescent="0.3">
      <c r="A115" s="157" t="s">
        <v>13</v>
      </c>
      <c r="B115" s="152" t="s">
        <v>511</v>
      </c>
      <c r="C115" s="157" t="s">
        <v>186</v>
      </c>
      <c r="D115" s="173">
        <v>296.7902351462933</v>
      </c>
      <c r="E115" s="152"/>
      <c r="F115" s="160">
        <v>149.87583827749776</v>
      </c>
      <c r="G115" s="160">
        <f t="shared" si="21"/>
        <v>118.77508333426584</v>
      </c>
      <c r="H115" s="160">
        <f t="shared" si="22"/>
        <v>178.01515181202745</v>
      </c>
      <c r="I115" s="174">
        <v>190</v>
      </c>
      <c r="J115" s="161">
        <f t="shared" si="23"/>
        <v>368.01515181202745</v>
      </c>
      <c r="K115" s="152"/>
      <c r="L115" s="152"/>
      <c r="M115" s="162">
        <v>1.8653597079948194</v>
      </c>
      <c r="N115" s="152">
        <v>95.600000000000023</v>
      </c>
      <c r="O115" s="163">
        <f t="shared" si="24"/>
        <v>0.17832838808430479</v>
      </c>
      <c r="P115" s="160">
        <f t="shared" si="26"/>
        <v>1.5013956048545933</v>
      </c>
      <c r="Q115" s="152">
        <v>48.999999999999929</v>
      </c>
      <c r="R115" s="170">
        <v>6.4857079999999998</v>
      </c>
      <c r="S115" s="165">
        <f t="shared" si="25"/>
        <v>12.653748669387777</v>
      </c>
      <c r="T115" s="171">
        <v>0.20466079537658974</v>
      </c>
      <c r="U115" s="152"/>
      <c r="V115" s="152"/>
      <c r="W115" s="186"/>
      <c r="X115" s="152"/>
      <c r="Y115" s="152"/>
      <c r="Z115" s="152"/>
      <c r="AA115" s="166">
        <v>64.283333333325572</v>
      </c>
      <c r="AB115" s="152"/>
      <c r="AC115" s="152"/>
      <c r="AD115" s="153"/>
      <c r="AE115" s="153"/>
      <c r="AF115" s="152"/>
      <c r="AG115" s="152"/>
      <c r="AH115" s="152"/>
      <c r="AI115" s="152"/>
      <c r="AJ115" s="152"/>
    </row>
    <row r="116" spans="1:36" x14ac:dyDescent="0.3">
      <c r="A116" s="157" t="s">
        <v>17</v>
      </c>
      <c r="B116" s="152" t="s">
        <v>511</v>
      </c>
      <c r="C116" s="157" t="s">
        <v>186</v>
      </c>
      <c r="D116" s="173">
        <v>249.82707285261785</v>
      </c>
      <c r="E116" s="152"/>
      <c r="F116" s="160">
        <v>149.55449731320658</v>
      </c>
      <c r="G116" s="160">
        <f t="shared" si="21"/>
        <v>100.1092248556311</v>
      </c>
      <c r="H116" s="160">
        <f t="shared" si="22"/>
        <v>149.71784799698673</v>
      </c>
      <c r="I116" s="174">
        <v>175</v>
      </c>
      <c r="J116" s="161">
        <f t="shared" si="23"/>
        <v>324.71784799698673</v>
      </c>
      <c r="K116" s="152"/>
      <c r="L116" s="152"/>
      <c r="M116" s="162">
        <v>0.97639232308960322</v>
      </c>
      <c r="N116" s="152">
        <v>95.400000000000034</v>
      </c>
      <c r="O116" s="163">
        <f t="shared" si="24"/>
        <v>9.3147827622748175E-2</v>
      </c>
      <c r="P116" s="160">
        <f t="shared" si="26"/>
        <v>0.9304619804726082</v>
      </c>
      <c r="Q116" s="152">
        <v>48.099999999999923</v>
      </c>
      <c r="R116" s="170">
        <v>30.456892</v>
      </c>
      <c r="S116" s="165">
        <f t="shared" si="25"/>
        <v>60.407224465696586</v>
      </c>
      <c r="T116" s="171">
        <v>0.20362089811765366</v>
      </c>
      <c r="U116" s="152"/>
      <c r="V116" s="152"/>
      <c r="W116" s="188"/>
      <c r="X116" s="152"/>
      <c r="Y116" s="152"/>
      <c r="Z116" s="152"/>
      <c r="AA116" s="166">
        <v>64.283333333325572</v>
      </c>
      <c r="AB116" s="152"/>
      <c r="AC116" s="152"/>
      <c r="AD116" s="153"/>
      <c r="AE116" s="153"/>
      <c r="AF116" s="152"/>
      <c r="AG116" s="152"/>
      <c r="AH116" s="152"/>
      <c r="AI116" s="152"/>
      <c r="AJ116" s="152"/>
    </row>
    <row r="117" spans="1:36" x14ac:dyDescent="0.3">
      <c r="A117" s="157" t="s">
        <v>23</v>
      </c>
      <c r="B117" s="152" t="s">
        <v>511</v>
      </c>
      <c r="C117" s="157" t="s">
        <v>186</v>
      </c>
      <c r="D117" s="173">
        <v>257.2725118483412</v>
      </c>
      <c r="E117" s="152"/>
      <c r="F117" s="160">
        <v>152.54159967941041</v>
      </c>
      <c r="G117" s="160">
        <f t="shared" si="21"/>
        <v>101.87331995003456</v>
      </c>
      <c r="H117" s="160">
        <f t="shared" si="22"/>
        <v>155.39919189830664</v>
      </c>
      <c r="I117" s="174">
        <v>168</v>
      </c>
      <c r="J117" s="161">
        <f t="shared" si="23"/>
        <v>323.39919189830664</v>
      </c>
      <c r="K117" s="152"/>
      <c r="L117" s="152"/>
      <c r="M117" s="162">
        <v>1.0287884139879901</v>
      </c>
      <c r="N117" s="152">
        <v>95.7</v>
      </c>
      <c r="O117" s="163">
        <f t="shared" si="24"/>
        <v>9.8455051218650669E-2</v>
      </c>
      <c r="P117" s="160">
        <f t="shared" si="26"/>
        <v>0.96644588855001057</v>
      </c>
      <c r="Q117" s="152">
        <v>48.799999999999955</v>
      </c>
      <c r="R117" s="170">
        <v>16.907907999999999</v>
      </c>
      <c r="S117" s="165">
        <f t="shared" si="25"/>
        <v>33.157516303278719</v>
      </c>
      <c r="T117" s="171">
        <v>0.20421272404509988</v>
      </c>
      <c r="U117" s="152"/>
      <c r="V117" s="152"/>
      <c r="W117" s="186"/>
      <c r="X117" s="152"/>
      <c r="Y117" s="152"/>
      <c r="Z117" s="152"/>
      <c r="AA117" s="166">
        <v>64.283333333325572</v>
      </c>
      <c r="AB117" s="152"/>
      <c r="AC117" s="152"/>
      <c r="AD117" s="153"/>
      <c r="AE117" s="153"/>
      <c r="AF117" s="152"/>
      <c r="AG117" s="152"/>
      <c r="AH117" s="152"/>
      <c r="AI117" s="152"/>
      <c r="AJ117" s="152"/>
    </row>
    <row r="118" spans="1:36" x14ac:dyDescent="0.3">
      <c r="A118" s="157" t="s">
        <v>21</v>
      </c>
      <c r="B118" s="152" t="s">
        <v>511</v>
      </c>
      <c r="C118" s="157" t="s">
        <v>186</v>
      </c>
      <c r="D118" s="173">
        <v>267.43431930223738</v>
      </c>
      <c r="E118" s="152"/>
      <c r="F118" s="160">
        <v>155.18357412076412</v>
      </c>
      <c r="G118" s="160">
        <f t="shared" si="21"/>
        <v>104.80075773830006</v>
      </c>
      <c r="H118" s="160">
        <f t="shared" si="22"/>
        <v>162.63356156393732</v>
      </c>
      <c r="I118" s="174">
        <v>160</v>
      </c>
      <c r="J118" s="161">
        <f t="shared" si="23"/>
        <v>322.63356156393729</v>
      </c>
      <c r="K118" s="152"/>
      <c r="L118" s="152"/>
      <c r="M118" s="162">
        <v>1.2419050983162605</v>
      </c>
      <c r="N118" s="152">
        <v>96.999999999999972</v>
      </c>
      <c r="O118" s="163">
        <f t="shared" si="24"/>
        <v>0.12046479453667723</v>
      </c>
      <c r="P118" s="160">
        <f t="shared" si="26"/>
        <v>1.1494649193042299</v>
      </c>
      <c r="Q118" s="152">
        <v>43.700000000000074</v>
      </c>
      <c r="R118" s="170">
        <v>4.6165320000000003</v>
      </c>
      <c r="S118" s="165">
        <f t="shared" si="25"/>
        <v>10.247222059496547</v>
      </c>
      <c r="T118" s="171">
        <v>0.20535626391066167</v>
      </c>
      <c r="U118" s="152"/>
      <c r="V118" s="152"/>
      <c r="W118" s="186"/>
      <c r="X118" s="152"/>
      <c r="Y118" s="152"/>
      <c r="Z118" s="152"/>
      <c r="AA118" s="166">
        <v>64.283333333325572</v>
      </c>
      <c r="AB118" s="152"/>
      <c r="AC118" s="152"/>
      <c r="AD118" s="153"/>
      <c r="AE118" s="153"/>
      <c r="AF118" s="152"/>
      <c r="AG118" s="152"/>
      <c r="AH118" s="152"/>
      <c r="AI118" s="152"/>
      <c r="AJ118" s="152"/>
    </row>
    <row r="119" spans="1:36" x14ac:dyDescent="0.3">
      <c r="A119" s="157" t="s">
        <v>22</v>
      </c>
      <c r="B119" s="152" t="s">
        <v>511</v>
      </c>
      <c r="C119" s="157" t="s">
        <v>186</v>
      </c>
      <c r="D119" s="173">
        <v>278.57925624636835</v>
      </c>
      <c r="E119" s="152"/>
      <c r="F119" s="160">
        <v>156.58599959493571</v>
      </c>
      <c r="G119" s="160">
        <f t="shared" si="21"/>
        <v>108.57149520478619</v>
      </c>
      <c r="H119" s="160">
        <f t="shared" si="22"/>
        <v>170.00776104158217</v>
      </c>
      <c r="I119" s="174">
        <v>153</v>
      </c>
      <c r="J119" s="161">
        <f t="shared" si="23"/>
        <v>323.00776104158217</v>
      </c>
      <c r="K119" s="152"/>
      <c r="L119" s="152"/>
      <c r="M119" s="162">
        <v>1.311668432827034</v>
      </c>
      <c r="N119" s="152">
        <v>96.499999999999915</v>
      </c>
      <c r="O119" s="163">
        <f t="shared" si="24"/>
        <v>0.12657600376780867</v>
      </c>
      <c r="P119" s="160">
        <f t="shared" si="26"/>
        <v>1.1658308981474612</v>
      </c>
      <c r="Q119" s="152">
        <v>48.800000000000068</v>
      </c>
      <c r="R119" s="170">
        <v>4.6066119999999993</v>
      </c>
      <c r="S119" s="165">
        <f t="shared" si="25"/>
        <v>9.1093864344262077</v>
      </c>
      <c r="T119" s="171">
        <v>0.2054538946195302</v>
      </c>
      <c r="U119" s="152"/>
      <c r="V119" s="152"/>
      <c r="W119" s="186"/>
      <c r="X119" s="152"/>
      <c r="Y119" s="152"/>
      <c r="Z119" s="152"/>
      <c r="AA119" s="166">
        <v>64.283333333325572</v>
      </c>
      <c r="AB119" s="152"/>
      <c r="AC119" s="152"/>
      <c r="AD119" s="153"/>
      <c r="AE119" s="153"/>
      <c r="AF119" s="152"/>
      <c r="AG119" s="152"/>
      <c r="AH119" s="152"/>
      <c r="AI119" s="152"/>
      <c r="AJ119" s="152"/>
    </row>
    <row r="120" spans="1:36" x14ac:dyDescent="0.3">
      <c r="W120" s="172"/>
    </row>
    <row r="121" spans="1:36" x14ac:dyDescent="0.3">
      <c r="W121" s="172"/>
    </row>
    <row r="122" spans="1:36" x14ac:dyDescent="0.3">
      <c r="W122" s="192"/>
    </row>
    <row r="155" spans="16:17" x14ac:dyDescent="0.3">
      <c r="P155" s="193"/>
    </row>
    <row r="156" spans="16:17" x14ac:dyDescent="0.3">
      <c r="Q156" s="193"/>
    </row>
    <row r="157" spans="16:17" x14ac:dyDescent="0.3">
      <c r="P157" s="193"/>
    </row>
    <row r="158" spans="16:17" x14ac:dyDescent="0.3">
      <c r="P158" s="193"/>
    </row>
    <row r="159" spans="16:17" x14ac:dyDescent="0.3">
      <c r="P159" s="193"/>
    </row>
    <row r="160" spans="16:17" ht="15" thickBot="1" x14ac:dyDescent="0.35">
      <c r="P160" s="194"/>
    </row>
  </sheetData>
  <mergeCells count="4">
    <mergeCell ref="AM9:AM13"/>
    <mergeCell ref="AM14:AM15"/>
    <mergeCell ref="AM22:AM23"/>
    <mergeCell ref="AM24:AM28"/>
  </mergeCells>
  <conditionalFormatting sqref="R9 R11:R14 R16:R17 R19:R23 R25:R32 R35 R37:R42 R49:R63 R44:R47 R65 R67:R70 R72:R73 R75:R79 R81:R88 R91 R93:R98 R105:R119 R100:R103">
    <cfRule type="cellIs" dxfId="0" priority="1" operator="lessThan">
      <formula>7</formula>
    </cfRule>
  </conditionalFormatting>
  <pageMargins left="0.25" right="0.25" top="0.75" bottom="0.75" header="0.3" footer="0.3"/>
  <pageSetup scale="28" fitToHeight="0" orientation="landscape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0_Sampling</vt:lpstr>
      <vt:lpstr>1_Water content</vt:lpstr>
      <vt:lpstr>2_Water holding capacity</vt:lpstr>
      <vt:lpstr>3_Pre-incubation</vt:lpstr>
      <vt:lpstr>4_DNA-Extraction </vt:lpstr>
      <vt:lpstr>5_Flushing</vt:lpstr>
      <vt:lpstr>6_GC measurements aerobic</vt:lpstr>
      <vt:lpstr>7_GC measurements anaerobic</vt:lpstr>
      <vt:lpstr>8_Respiration</vt:lpstr>
      <vt:lpstr>9_Long-term incubation</vt:lpstr>
      <vt:lpstr>10_CFE</vt:lpstr>
      <vt:lpstr>11_Elemental analyses</vt:lpstr>
      <vt:lpstr>12_DNA concentrations</vt:lpstr>
      <vt:lpstr>13_CUE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Mariele Castan</dc:creator>
  <cp:lastModifiedBy>Mariele Castan</cp:lastModifiedBy>
  <dcterms:created xsi:type="dcterms:W3CDTF">2024-11-07T15:09:28Z</dcterms:created>
  <dcterms:modified xsi:type="dcterms:W3CDTF">2025-08-14T12:33:00Z</dcterms:modified>
</cp:coreProperties>
</file>